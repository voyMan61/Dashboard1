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eter/Desktop/ICT302 TMA 2018/WorkLoad/"/>
    </mc:Choice>
  </mc:AlternateContent>
  <bookViews>
    <workbookView xWindow="1380" yWindow="460" windowWidth="28800" windowHeight="16420"/>
  </bookViews>
  <sheets>
    <sheet name="STAFF TOTALS" sheetId="12" r:id="rId1"/>
    <sheet name="OFFERINGS" sheetId="48" r:id="rId2"/>
    <sheet name="TUTORIALS" sheetId="46" r:id="rId3"/>
    <sheet name="Pivots" sheetId="50" r:id="rId4"/>
    <sheet name="Pattern lookup" sheetId="7" r:id="rId5"/>
    <sheet name="Pattern detail" sheetId="5" r:id="rId6"/>
    <sheet name="Teaching Patterns defined" sheetId="4" r:id="rId7"/>
    <sheet name="Staff lookup" sheetId="10" r:id="rId8"/>
    <sheet name="Tutorial columns to copy" sheetId="45" r:id="rId9"/>
    <sheet name="Sheet2" sheetId="47" r:id="rId10"/>
  </sheets>
  <definedNames>
    <definedName name="_xlnm._FilterDatabase" localSheetId="1" hidden="1">OFFERINGS!$A$2:$Z$268</definedName>
    <definedName name="_xlnm._FilterDatabase" localSheetId="5" hidden="1">'Pattern detail'!$A$3:$R$30</definedName>
    <definedName name="_xlnm.Print_Area" localSheetId="5">'Pattern detail'!$A$1:$N$60</definedName>
    <definedName name="Staff">'Staff lookup'!$A$1:$A$22</definedName>
  </definedNames>
  <calcPr calcId="150001" concurrentCalc="0"/>
  <pivotCaches>
    <pivotCache cacheId="2" r:id="rId11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07" i="48" l="1"/>
  <c r="O208" i="48"/>
  <c r="O209" i="48"/>
  <c r="O210" i="48"/>
  <c r="O211" i="48"/>
  <c r="O212" i="48"/>
  <c r="O213" i="48"/>
  <c r="O214" i="48"/>
  <c r="O215" i="48"/>
  <c r="O216" i="48"/>
  <c r="O217" i="48"/>
  <c r="O218" i="48"/>
  <c r="O219" i="48"/>
  <c r="O220" i="48"/>
  <c r="O221" i="48"/>
  <c r="O222" i="48"/>
  <c r="O223" i="48"/>
  <c r="O224" i="48"/>
  <c r="O225" i="48"/>
  <c r="AB207" i="48"/>
  <c r="AB208" i="48"/>
  <c r="AB209" i="48"/>
  <c r="AB210" i="48"/>
  <c r="AB211" i="48"/>
  <c r="AB212" i="48"/>
  <c r="AB213" i="48"/>
  <c r="AB214" i="48"/>
  <c r="AB215" i="48"/>
  <c r="AB216" i="48"/>
  <c r="AB217" i="48"/>
  <c r="AB218" i="48"/>
  <c r="AB219" i="48"/>
  <c r="AB220" i="48"/>
  <c r="AB221" i="48"/>
  <c r="AB222" i="48"/>
  <c r="AB223" i="48"/>
  <c r="AB224" i="48"/>
  <c r="AB225" i="48"/>
  <c r="N21" i="12"/>
  <c r="O206" i="48"/>
  <c r="AB206" i="48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AB200" i="48"/>
  <c r="AB201" i="48"/>
  <c r="AB202" i="48"/>
  <c r="AB203" i="48"/>
  <c r="AB204" i="48"/>
  <c r="AB205" i="48"/>
  <c r="R200" i="48"/>
  <c r="R201" i="48"/>
  <c r="R202" i="48"/>
  <c r="R203" i="48"/>
  <c r="R204" i="48"/>
  <c r="R205" i="48"/>
  <c r="O200" i="48"/>
  <c r="O201" i="48"/>
  <c r="P201" i="48"/>
  <c r="O202" i="48"/>
  <c r="P202" i="48"/>
  <c r="O203" i="48"/>
  <c r="P203" i="48"/>
  <c r="O204" i="48"/>
  <c r="P204" i="48"/>
  <c r="O205" i="48"/>
  <c r="P205" i="48"/>
  <c r="AL57" i="5"/>
  <c r="AL56" i="5"/>
  <c r="AL55" i="5"/>
  <c r="AL54" i="5"/>
  <c r="AL49" i="5"/>
  <c r="AL48" i="5"/>
  <c r="AL47" i="5"/>
  <c r="AL46" i="5"/>
  <c r="AL45" i="5"/>
  <c r="AL44" i="5"/>
  <c r="AL43" i="5"/>
  <c r="AL42" i="5"/>
  <c r="AL41" i="5"/>
  <c r="AL40" i="5"/>
  <c r="AL51" i="5"/>
  <c r="D7" i="7"/>
  <c r="AL35" i="5"/>
  <c r="AL34" i="5"/>
  <c r="AL33" i="5"/>
  <c r="AL32" i="5"/>
  <c r="AL31" i="5"/>
  <c r="AL30" i="5"/>
  <c r="AL29" i="5"/>
  <c r="AL28" i="5"/>
  <c r="AL27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L14" i="5"/>
  <c r="AL13" i="5"/>
  <c r="AL12" i="5"/>
  <c r="AL11" i="5"/>
  <c r="AL10" i="5"/>
  <c r="AL9" i="5"/>
  <c r="AL8" i="5"/>
  <c r="AL7" i="5"/>
  <c r="AL6" i="5"/>
  <c r="AL5" i="5"/>
  <c r="AL4" i="5"/>
  <c r="K25" i="7"/>
  <c r="AB4" i="48"/>
  <c r="AB5" i="48"/>
  <c r="AB6" i="48"/>
  <c r="AB7" i="48"/>
  <c r="AB8" i="48"/>
  <c r="AB9" i="48"/>
  <c r="AB10" i="48"/>
  <c r="AB11" i="48"/>
  <c r="AB12" i="48"/>
  <c r="AB13" i="48"/>
  <c r="AB14" i="48"/>
  <c r="AB15" i="48"/>
  <c r="AB16" i="48"/>
  <c r="AB17" i="48"/>
  <c r="AB18" i="48"/>
  <c r="AB19" i="48"/>
  <c r="AB20" i="48"/>
  <c r="AB21" i="48"/>
  <c r="AB22" i="48"/>
  <c r="AB23" i="48"/>
  <c r="AB24" i="48"/>
  <c r="AB25" i="48"/>
  <c r="AB26" i="48"/>
  <c r="AB27" i="48"/>
  <c r="AB28" i="48"/>
  <c r="AB29" i="48"/>
  <c r="AB30" i="48"/>
  <c r="AB31" i="48"/>
  <c r="AB32" i="48"/>
  <c r="AB33" i="48"/>
  <c r="AB34" i="48"/>
  <c r="AB35" i="48"/>
  <c r="AB36" i="48"/>
  <c r="AB37" i="48"/>
  <c r="AB38" i="48"/>
  <c r="AB39" i="48"/>
  <c r="AB40" i="48"/>
  <c r="AB41" i="48"/>
  <c r="AB42" i="48"/>
  <c r="AB43" i="48"/>
  <c r="AB44" i="48"/>
  <c r="AB45" i="48"/>
  <c r="AB46" i="48"/>
  <c r="AB47" i="48"/>
  <c r="AB48" i="48"/>
  <c r="AB49" i="48"/>
  <c r="AB50" i="48"/>
  <c r="AB51" i="48"/>
  <c r="AB52" i="48"/>
  <c r="AB53" i="48"/>
  <c r="AB54" i="48"/>
  <c r="AB55" i="48"/>
  <c r="AB56" i="48"/>
  <c r="AB57" i="48"/>
  <c r="AB58" i="48"/>
  <c r="AB59" i="48"/>
  <c r="AB60" i="48"/>
  <c r="AB61" i="48"/>
  <c r="AB62" i="48"/>
  <c r="AB63" i="48"/>
  <c r="AB64" i="48"/>
  <c r="AB65" i="48"/>
  <c r="AB66" i="48"/>
  <c r="AB67" i="48"/>
  <c r="AB68" i="48"/>
  <c r="AB69" i="48"/>
  <c r="AB70" i="48"/>
  <c r="AB71" i="48"/>
  <c r="AB72" i="48"/>
  <c r="AB73" i="48"/>
  <c r="AB74" i="48"/>
  <c r="AB75" i="48"/>
  <c r="AB76" i="48"/>
  <c r="AB77" i="48"/>
  <c r="AB78" i="48"/>
  <c r="AB79" i="48"/>
  <c r="AB80" i="48"/>
  <c r="AB81" i="48"/>
  <c r="AB82" i="48"/>
  <c r="AB83" i="48"/>
  <c r="AB84" i="48"/>
  <c r="AB85" i="48"/>
  <c r="AB86" i="48"/>
  <c r="AB87" i="48"/>
  <c r="AB88" i="48"/>
  <c r="AB89" i="48"/>
  <c r="AB90" i="48"/>
  <c r="AB91" i="48"/>
  <c r="AB92" i="48"/>
  <c r="AB93" i="48"/>
  <c r="AB94" i="48"/>
  <c r="AB95" i="48"/>
  <c r="AB96" i="48"/>
  <c r="AB97" i="48"/>
  <c r="AB98" i="48"/>
  <c r="AB99" i="48"/>
  <c r="AB100" i="48"/>
  <c r="AB101" i="48"/>
  <c r="AB102" i="48"/>
  <c r="AB103" i="48"/>
  <c r="AB104" i="48"/>
  <c r="AB105" i="48"/>
  <c r="AB106" i="48"/>
  <c r="AB107" i="48"/>
  <c r="AB108" i="48"/>
  <c r="AB109" i="48"/>
  <c r="AB110" i="48"/>
  <c r="AB111" i="48"/>
  <c r="AB112" i="48"/>
  <c r="AB113" i="48"/>
  <c r="AB114" i="48"/>
  <c r="AB115" i="48"/>
  <c r="AB116" i="48"/>
  <c r="AB117" i="48"/>
  <c r="AB118" i="48"/>
  <c r="AB119" i="48"/>
  <c r="AB120" i="48"/>
  <c r="AB121" i="48"/>
  <c r="AB122" i="48"/>
  <c r="AB123" i="48"/>
  <c r="AB124" i="48"/>
  <c r="AB125" i="48"/>
  <c r="AB126" i="48"/>
  <c r="AB127" i="48"/>
  <c r="AB128" i="48"/>
  <c r="AB129" i="48"/>
  <c r="AB130" i="48"/>
  <c r="AB131" i="48"/>
  <c r="AB132" i="48"/>
  <c r="AB133" i="48"/>
  <c r="AB134" i="48"/>
  <c r="AB135" i="48"/>
  <c r="AB136" i="48"/>
  <c r="AB137" i="48"/>
  <c r="AB138" i="48"/>
  <c r="AB139" i="48"/>
  <c r="AB140" i="48"/>
  <c r="AB141" i="48"/>
  <c r="AB142" i="48"/>
  <c r="AB143" i="48"/>
  <c r="AB144" i="48"/>
  <c r="AB145" i="48"/>
  <c r="AB146" i="48"/>
  <c r="AB147" i="48"/>
  <c r="AB148" i="48"/>
  <c r="AB149" i="48"/>
  <c r="AB150" i="48"/>
  <c r="AB151" i="48"/>
  <c r="AB152" i="48"/>
  <c r="AB153" i="48"/>
  <c r="AB154" i="48"/>
  <c r="AB155" i="48"/>
  <c r="AB156" i="48"/>
  <c r="AB157" i="48"/>
  <c r="AB158" i="48"/>
  <c r="AB159" i="48"/>
  <c r="AB160" i="48"/>
  <c r="AB161" i="48"/>
  <c r="AB162" i="48"/>
  <c r="AB163" i="48"/>
  <c r="AB164" i="48"/>
  <c r="AB165" i="48"/>
  <c r="AB166" i="48"/>
  <c r="AB167" i="48"/>
  <c r="AB168" i="48"/>
  <c r="AB169" i="48"/>
  <c r="AB170" i="48"/>
  <c r="AB171" i="48"/>
  <c r="AB172" i="48"/>
  <c r="AB173" i="48"/>
  <c r="AB174" i="48"/>
  <c r="AB175" i="48"/>
  <c r="AB176" i="48"/>
  <c r="AB177" i="48"/>
  <c r="AB178" i="48"/>
  <c r="AB179" i="48"/>
  <c r="AB180" i="48"/>
  <c r="AB181" i="48"/>
  <c r="AB182" i="48"/>
  <c r="AB183" i="48"/>
  <c r="AB184" i="48"/>
  <c r="AB185" i="48"/>
  <c r="AB186" i="48"/>
  <c r="AB187" i="48"/>
  <c r="AB188" i="48"/>
  <c r="AB189" i="48"/>
  <c r="AB190" i="48"/>
  <c r="AB191" i="48"/>
  <c r="AB192" i="48"/>
  <c r="AB193" i="48"/>
  <c r="AB194" i="48"/>
  <c r="AB195" i="48"/>
  <c r="AB196" i="48"/>
  <c r="AB197" i="48"/>
  <c r="AB198" i="48"/>
  <c r="AB199" i="48"/>
  <c r="AB3" i="48"/>
  <c r="N22" i="12"/>
  <c r="J12" i="12"/>
  <c r="J21" i="12"/>
  <c r="AA268" i="48"/>
  <c r="AA226" i="48"/>
  <c r="AA227" i="48"/>
  <c r="AA228" i="48"/>
  <c r="AA229" i="48"/>
  <c r="AA230" i="48"/>
  <c r="AA231" i="48"/>
  <c r="AA232" i="48"/>
  <c r="AA233" i="48"/>
  <c r="AA234" i="48"/>
  <c r="AA235" i="48"/>
  <c r="AA236" i="48"/>
  <c r="AA237" i="48"/>
  <c r="AA238" i="48"/>
  <c r="AA239" i="48"/>
  <c r="AA240" i="48"/>
  <c r="AA241" i="48"/>
  <c r="AA242" i="48"/>
  <c r="AA243" i="48"/>
  <c r="AA244" i="48"/>
  <c r="AA245" i="48"/>
  <c r="AA246" i="48"/>
  <c r="AA247" i="48"/>
  <c r="AA248" i="48"/>
  <c r="AA249" i="48"/>
  <c r="AA250" i="48"/>
  <c r="AA251" i="48"/>
  <c r="AA252" i="48"/>
  <c r="AA253" i="48"/>
  <c r="AA254" i="48"/>
  <c r="AA255" i="48"/>
  <c r="AA256" i="48"/>
  <c r="AA257" i="48"/>
  <c r="AA258" i="48"/>
  <c r="AA259" i="48"/>
  <c r="AA260" i="48"/>
  <c r="AA261" i="48"/>
  <c r="AA262" i="48"/>
  <c r="AA263" i="48"/>
  <c r="AA264" i="48"/>
  <c r="AA265" i="48"/>
  <c r="AA266" i="48"/>
  <c r="AA267" i="48"/>
  <c r="J199" i="48"/>
  <c r="O199" i="48"/>
  <c r="J198" i="48"/>
  <c r="O198" i="48"/>
  <c r="J197" i="48"/>
  <c r="O197" i="48"/>
  <c r="J196" i="48"/>
  <c r="O196" i="48"/>
  <c r="J195" i="48"/>
  <c r="O195" i="48"/>
  <c r="J194" i="48"/>
  <c r="O194" i="48"/>
  <c r="J193" i="48"/>
  <c r="O193" i="48"/>
  <c r="J192" i="48"/>
  <c r="O192" i="48"/>
  <c r="J191" i="48"/>
  <c r="O191" i="48"/>
  <c r="J190" i="48"/>
  <c r="O190" i="48"/>
  <c r="J189" i="48"/>
  <c r="O189" i="48"/>
  <c r="J188" i="48"/>
  <c r="O188" i="48"/>
  <c r="J187" i="48"/>
  <c r="O187" i="48"/>
  <c r="J186" i="48"/>
  <c r="O186" i="48"/>
  <c r="J185" i="48"/>
  <c r="O185" i="48"/>
  <c r="J184" i="48"/>
  <c r="O184" i="48"/>
  <c r="J183" i="48"/>
  <c r="O183" i="48"/>
  <c r="J182" i="48"/>
  <c r="O182" i="48"/>
  <c r="J181" i="48"/>
  <c r="O181" i="48"/>
  <c r="J180" i="48"/>
  <c r="O180" i="48"/>
  <c r="J179" i="48"/>
  <c r="O179" i="48"/>
  <c r="J178" i="48"/>
  <c r="O178" i="48"/>
  <c r="J177" i="48"/>
  <c r="O177" i="48"/>
  <c r="J176" i="48"/>
  <c r="O176" i="48"/>
  <c r="J175" i="48"/>
  <c r="O175" i="48"/>
  <c r="J174" i="48"/>
  <c r="O174" i="48"/>
  <c r="J173" i="48"/>
  <c r="O173" i="48"/>
  <c r="J172" i="48"/>
  <c r="O172" i="48"/>
  <c r="J171" i="48"/>
  <c r="O171" i="48"/>
  <c r="J170" i="48"/>
  <c r="O170" i="48"/>
  <c r="J169" i="48"/>
  <c r="O169" i="48"/>
  <c r="J168" i="48"/>
  <c r="O168" i="48"/>
  <c r="J167" i="48"/>
  <c r="O167" i="48"/>
  <c r="J166" i="48"/>
  <c r="O166" i="48"/>
  <c r="J165" i="48"/>
  <c r="O165" i="48"/>
  <c r="J164" i="48"/>
  <c r="O164" i="48"/>
  <c r="J163" i="48"/>
  <c r="O163" i="48"/>
  <c r="J162" i="48"/>
  <c r="O162" i="48"/>
  <c r="J161" i="48"/>
  <c r="O161" i="48"/>
  <c r="J160" i="48"/>
  <c r="O160" i="48"/>
  <c r="J159" i="48"/>
  <c r="O159" i="48"/>
  <c r="J158" i="48"/>
  <c r="O158" i="48"/>
  <c r="J157" i="48"/>
  <c r="O157" i="48"/>
  <c r="J156" i="48"/>
  <c r="O156" i="48"/>
  <c r="J155" i="48"/>
  <c r="O155" i="48"/>
  <c r="J154" i="48"/>
  <c r="O154" i="48"/>
  <c r="J153" i="48"/>
  <c r="O153" i="48"/>
  <c r="J152" i="48"/>
  <c r="O152" i="48"/>
  <c r="J151" i="48"/>
  <c r="O151" i="48"/>
  <c r="J150" i="48"/>
  <c r="O150" i="48"/>
  <c r="J149" i="48"/>
  <c r="O149" i="48"/>
  <c r="J148" i="48"/>
  <c r="O148" i="48"/>
  <c r="J147" i="48"/>
  <c r="O147" i="48"/>
  <c r="J146" i="48"/>
  <c r="O146" i="48"/>
  <c r="J145" i="48"/>
  <c r="O145" i="48"/>
  <c r="R144" i="48"/>
  <c r="P144" i="48"/>
  <c r="J144" i="48"/>
  <c r="O144" i="48"/>
  <c r="J143" i="48"/>
  <c r="O143" i="48"/>
  <c r="J142" i="48"/>
  <c r="O142" i="48"/>
  <c r="J141" i="48"/>
  <c r="O141" i="48"/>
  <c r="J140" i="48"/>
  <c r="O140" i="48"/>
  <c r="J139" i="48"/>
  <c r="O139" i="48"/>
  <c r="J138" i="48"/>
  <c r="O138" i="48"/>
  <c r="J137" i="48"/>
  <c r="O137" i="48"/>
  <c r="J136" i="48"/>
  <c r="O136" i="48"/>
  <c r="J135" i="48"/>
  <c r="O135" i="48"/>
  <c r="J134" i="48"/>
  <c r="O134" i="48"/>
  <c r="J133" i="48"/>
  <c r="O133" i="48"/>
  <c r="J132" i="48"/>
  <c r="O132" i="48"/>
  <c r="J131" i="48"/>
  <c r="O131" i="48"/>
  <c r="J130" i="48"/>
  <c r="O130" i="48"/>
  <c r="J129" i="48"/>
  <c r="O129" i="48"/>
  <c r="J128" i="48"/>
  <c r="O128" i="48"/>
  <c r="J127" i="48"/>
  <c r="O127" i="48"/>
  <c r="J126" i="48"/>
  <c r="O126" i="48"/>
  <c r="J125" i="48"/>
  <c r="O125" i="48"/>
  <c r="J124" i="48"/>
  <c r="O124" i="48"/>
  <c r="J123" i="48"/>
  <c r="O123" i="48"/>
  <c r="J122" i="48"/>
  <c r="O122" i="48"/>
  <c r="J121" i="48"/>
  <c r="O121" i="48"/>
  <c r="J120" i="48"/>
  <c r="O120" i="48"/>
  <c r="J119" i="48"/>
  <c r="O119" i="48"/>
  <c r="J118" i="48"/>
  <c r="O118" i="48"/>
  <c r="J117" i="48"/>
  <c r="O117" i="48"/>
  <c r="J116" i="48"/>
  <c r="O116" i="48"/>
  <c r="J115" i="48"/>
  <c r="O115" i="48"/>
  <c r="J114" i="48"/>
  <c r="O114" i="48"/>
  <c r="J113" i="48"/>
  <c r="O113" i="48"/>
  <c r="J112" i="48"/>
  <c r="O112" i="48"/>
  <c r="J111" i="48"/>
  <c r="O111" i="48"/>
  <c r="J110" i="48"/>
  <c r="O110" i="48"/>
  <c r="J109" i="48"/>
  <c r="O109" i="48"/>
  <c r="J108" i="48"/>
  <c r="O108" i="48"/>
  <c r="J107" i="48"/>
  <c r="O107" i="48"/>
  <c r="J106" i="48"/>
  <c r="O106" i="48"/>
  <c r="J105" i="48"/>
  <c r="O105" i="48"/>
  <c r="J104" i="48"/>
  <c r="O104" i="48"/>
  <c r="J103" i="48"/>
  <c r="O103" i="48"/>
  <c r="J102" i="48"/>
  <c r="O102" i="48"/>
  <c r="J101" i="48"/>
  <c r="O101" i="48"/>
  <c r="J100" i="48"/>
  <c r="O100" i="48"/>
  <c r="J99" i="48"/>
  <c r="O99" i="48"/>
  <c r="J98" i="48"/>
  <c r="O98" i="48"/>
  <c r="J97" i="48"/>
  <c r="O97" i="48"/>
  <c r="J96" i="48"/>
  <c r="O96" i="48"/>
  <c r="J95" i="48"/>
  <c r="O95" i="48"/>
  <c r="J94" i="48"/>
  <c r="O94" i="48"/>
  <c r="J93" i="48"/>
  <c r="O93" i="48"/>
  <c r="J92" i="48"/>
  <c r="O92" i="48"/>
  <c r="J91" i="48"/>
  <c r="O91" i="48"/>
  <c r="J90" i="48"/>
  <c r="O90" i="48"/>
  <c r="J89" i="48"/>
  <c r="O89" i="48"/>
  <c r="J88" i="48"/>
  <c r="O88" i="48"/>
  <c r="J87" i="48"/>
  <c r="O87" i="48"/>
  <c r="J86" i="48"/>
  <c r="O86" i="48"/>
  <c r="R85" i="48"/>
  <c r="J85" i="48"/>
  <c r="O85" i="48"/>
  <c r="J84" i="48"/>
  <c r="O84" i="48"/>
  <c r="J83" i="48"/>
  <c r="O83" i="48"/>
  <c r="J82" i="48"/>
  <c r="O82" i="48"/>
  <c r="J81" i="48"/>
  <c r="O81" i="48"/>
  <c r="J80" i="48"/>
  <c r="O80" i="48"/>
  <c r="J79" i="48"/>
  <c r="O79" i="48"/>
  <c r="J78" i="48"/>
  <c r="O78" i="48"/>
  <c r="J77" i="48"/>
  <c r="O77" i="48"/>
  <c r="J76" i="48"/>
  <c r="O76" i="48"/>
  <c r="J75" i="48"/>
  <c r="O75" i="48"/>
  <c r="J74" i="48"/>
  <c r="O74" i="48"/>
  <c r="J73" i="48"/>
  <c r="O73" i="48"/>
  <c r="R72" i="48"/>
  <c r="P72" i="48"/>
  <c r="J72" i="48"/>
  <c r="O72" i="48"/>
  <c r="J71" i="48"/>
  <c r="O71" i="48"/>
  <c r="J70" i="48"/>
  <c r="O70" i="48"/>
  <c r="J69" i="48"/>
  <c r="O69" i="48"/>
  <c r="J68" i="48"/>
  <c r="O68" i="48"/>
  <c r="J67" i="48"/>
  <c r="O67" i="48"/>
  <c r="J66" i="48"/>
  <c r="O66" i="48"/>
  <c r="J65" i="48"/>
  <c r="O65" i="48"/>
  <c r="J64" i="48"/>
  <c r="O64" i="48"/>
  <c r="J63" i="48"/>
  <c r="O63" i="48"/>
  <c r="R62" i="48"/>
  <c r="P62" i="48"/>
  <c r="J62" i="48"/>
  <c r="O62" i="48"/>
  <c r="J61" i="48"/>
  <c r="O61" i="48"/>
  <c r="J60" i="48"/>
  <c r="O60" i="48"/>
  <c r="J59" i="48"/>
  <c r="O59" i="48"/>
  <c r="J58" i="48"/>
  <c r="O58" i="48"/>
  <c r="J57" i="48"/>
  <c r="O57" i="48"/>
  <c r="J56" i="48"/>
  <c r="O56" i="48"/>
  <c r="J55" i="48"/>
  <c r="O55" i="48"/>
  <c r="J54" i="48"/>
  <c r="O54" i="48"/>
  <c r="J53" i="48"/>
  <c r="O53" i="48"/>
  <c r="J52" i="48"/>
  <c r="O52" i="48"/>
  <c r="J51" i="48"/>
  <c r="O51" i="48"/>
  <c r="J50" i="48"/>
  <c r="O50" i="48"/>
  <c r="J49" i="48"/>
  <c r="O49" i="48"/>
  <c r="J48" i="48"/>
  <c r="O48" i="48"/>
  <c r="J47" i="48"/>
  <c r="O47" i="48"/>
  <c r="J46" i="48"/>
  <c r="O46" i="48"/>
  <c r="J45" i="48"/>
  <c r="O45" i="48"/>
  <c r="J44" i="48"/>
  <c r="O44" i="48"/>
  <c r="J43" i="48"/>
  <c r="O43" i="48"/>
  <c r="J42" i="48"/>
  <c r="O42" i="48"/>
  <c r="J41" i="48"/>
  <c r="O41" i="48"/>
  <c r="J40" i="48"/>
  <c r="O40" i="48"/>
  <c r="J39" i="48"/>
  <c r="O39" i="48"/>
  <c r="J38" i="48"/>
  <c r="O38" i="48"/>
  <c r="J37" i="48"/>
  <c r="O37" i="48"/>
  <c r="J36" i="48"/>
  <c r="O36" i="48"/>
  <c r="J35" i="48"/>
  <c r="O35" i="48"/>
  <c r="J34" i="48"/>
  <c r="O34" i="48"/>
  <c r="J33" i="48"/>
  <c r="O33" i="48"/>
  <c r="J32" i="48"/>
  <c r="O32" i="48"/>
  <c r="J31" i="48"/>
  <c r="O31" i="48"/>
  <c r="J30" i="48"/>
  <c r="O30" i="48"/>
  <c r="J29" i="48"/>
  <c r="O29" i="48"/>
  <c r="J28" i="48"/>
  <c r="O28" i="48"/>
  <c r="J27" i="48"/>
  <c r="O27" i="48"/>
  <c r="J26" i="48"/>
  <c r="O26" i="48"/>
  <c r="J25" i="48"/>
  <c r="O25" i="48"/>
  <c r="J24" i="48"/>
  <c r="O24" i="48"/>
  <c r="R23" i="48"/>
  <c r="P23" i="48"/>
  <c r="J23" i="48"/>
  <c r="O23" i="48"/>
  <c r="J22" i="48"/>
  <c r="O22" i="48"/>
  <c r="J21" i="48"/>
  <c r="O21" i="48"/>
  <c r="J20" i="48"/>
  <c r="O20" i="48"/>
  <c r="J19" i="48"/>
  <c r="O19" i="48"/>
  <c r="J18" i="48"/>
  <c r="O18" i="48"/>
  <c r="J17" i="48"/>
  <c r="O17" i="48"/>
  <c r="J16" i="48"/>
  <c r="O16" i="48"/>
  <c r="J15" i="48"/>
  <c r="O15" i="48"/>
  <c r="J14" i="48"/>
  <c r="O14" i="48"/>
  <c r="J13" i="48"/>
  <c r="O13" i="48"/>
  <c r="J12" i="48"/>
  <c r="O12" i="48"/>
  <c r="J11" i="48"/>
  <c r="O11" i="48"/>
  <c r="J10" i="48"/>
  <c r="O10" i="48"/>
  <c r="J9" i="48"/>
  <c r="O9" i="48"/>
  <c r="J8" i="48"/>
  <c r="O8" i="48"/>
  <c r="J7" i="48"/>
  <c r="O7" i="48"/>
  <c r="J6" i="48"/>
  <c r="O6" i="48"/>
  <c r="J5" i="48"/>
  <c r="O5" i="48"/>
  <c r="J4" i="48"/>
  <c r="O4" i="48"/>
  <c r="J3" i="48"/>
  <c r="O3" i="48"/>
  <c r="J273" i="46"/>
  <c r="J274" i="46"/>
  <c r="J275" i="46"/>
  <c r="J276" i="46"/>
  <c r="J277" i="46"/>
  <c r="J278" i="46"/>
  <c r="J279" i="46"/>
  <c r="J280" i="46"/>
  <c r="F6" i="12"/>
  <c r="F9" i="12"/>
  <c r="F10" i="12"/>
  <c r="F11" i="12"/>
  <c r="F12" i="12"/>
  <c r="F13" i="12"/>
  <c r="F17" i="12"/>
  <c r="F18" i="12"/>
  <c r="F19" i="12"/>
  <c r="F20" i="12"/>
  <c r="F21" i="12"/>
  <c r="F22" i="12"/>
  <c r="F23" i="12"/>
  <c r="F24" i="12"/>
  <c r="F5" i="12"/>
  <c r="AL37" i="5"/>
  <c r="C7" i="7"/>
  <c r="M200" i="48"/>
  <c r="AA200" i="48"/>
  <c r="M207" i="48"/>
  <c r="AA207" i="48"/>
  <c r="M209" i="48"/>
  <c r="AA209" i="48"/>
  <c r="M211" i="48"/>
  <c r="AA211" i="48"/>
  <c r="M213" i="48"/>
  <c r="AA213" i="48"/>
  <c r="M215" i="48"/>
  <c r="AA215" i="48"/>
  <c r="M217" i="48"/>
  <c r="AA217" i="48"/>
  <c r="M219" i="48"/>
  <c r="AA219" i="48"/>
  <c r="M221" i="48"/>
  <c r="AA221" i="48"/>
  <c r="M223" i="48"/>
  <c r="AA223" i="48"/>
  <c r="M225" i="48"/>
  <c r="AA225" i="48"/>
  <c r="M208" i="48"/>
  <c r="AA208" i="48"/>
  <c r="M210" i="48"/>
  <c r="AA210" i="48"/>
  <c r="M212" i="48"/>
  <c r="AA212" i="48"/>
  <c r="M214" i="48"/>
  <c r="AA214" i="48"/>
  <c r="M216" i="48"/>
  <c r="AA216" i="48"/>
  <c r="M218" i="48"/>
  <c r="AA218" i="48"/>
  <c r="M220" i="48"/>
  <c r="AA220" i="48"/>
  <c r="M222" i="48"/>
  <c r="AA222" i="48"/>
  <c r="L208" i="48"/>
  <c r="L210" i="48"/>
  <c r="L212" i="48"/>
  <c r="L214" i="48"/>
  <c r="L216" i="48"/>
  <c r="L218" i="48"/>
  <c r="L220" i="48"/>
  <c r="L222" i="48"/>
  <c r="L207" i="48"/>
  <c r="L209" i="48"/>
  <c r="L211" i="48"/>
  <c r="L213" i="48"/>
  <c r="L215" i="48"/>
  <c r="L217" i="48"/>
  <c r="L219" i="48"/>
  <c r="L221" i="48"/>
  <c r="L223" i="48"/>
  <c r="L225" i="48"/>
  <c r="L205" i="48"/>
  <c r="L204" i="48"/>
  <c r="L203" i="48"/>
  <c r="M202" i="48"/>
  <c r="L201" i="48"/>
  <c r="AL60" i="5"/>
  <c r="E7" i="7"/>
  <c r="N200" i="48"/>
  <c r="L200" i="48"/>
  <c r="M205" i="48"/>
  <c r="M204" i="48"/>
  <c r="M203" i="48"/>
  <c r="L202" i="48"/>
  <c r="M201" i="48"/>
  <c r="P200" i="48"/>
  <c r="N208" i="48"/>
  <c r="AB1" i="48"/>
  <c r="J272" i="46"/>
  <c r="J271" i="46"/>
  <c r="J270" i="46"/>
  <c r="J269" i="46"/>
  <c r="J268" i="46"/>
  <c r="J267" i="46"/>
  <c r="J266" i="46"/>
  <c r="J265" i="46"/>
  <c r="J264" i="46"/>
  <c r="J263" i="46"/>
  <c r="J262" i="46"/>
  <c r="J261" i="46"/>
  <c r="J260" i="46"/>
  <c r="J259" i="46"/>
  <c r="J258" i="46"/>
  <c r="J257" i="46"/>
  <c r="J256" i="46"/>
  <c r="J255" i="46"/>
  <c r="J254" i="46"/>
  <c r="J253" i="46"/>
  <c r="J252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28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14" i="46"/>
  <c r="J213" i="46"/>
  <c r="J212" i="46"/>
  <c r="J211" i="46"/>
  <c r="J210" i="46"/>
  <c r="J209" i="46"/>
  <c r="J208" i="46"/>
  <c r="J207" i="46"/>
  <c r="J206" i="46"/>
  <c r="J205" i="46"/>
  <c r="J204" i="46"/>
  <c r="J203" i="46"/>
  <c r="J202" i="46"/>
  <c r="J201" i="46"/>
  <c r="J200" i="46"/>
  <c r="J199" i="46"/>
  <c r="J198" i="46"/>
  <c r="J197" i="46"/>
  <c r="J196" i="46"/>
  <c r="J195" i="46"/>
  <c r="J194" i="46"/>
  <c r="J193" i="46"/>
  <c r="J192" i="46"/>
  <c r="J191" i="46"/>
  <c r="J190" i="46"/>
  <c r="J189" i="46"/>
  <c r="J188" i="46"/>
  <c r="J187" i="46"/>
  <c r="J186" i="46"/>
  <c r="J185" i="46"/>
  <c r="J184" i="46"/>
  <c r="J183" i="46"/>
  <c r="J182" i="46"/>
  <c r="J181" i="46"/>
  <c r="J180" i="46"/>
  <c r="J179" i="46"/>
  <c r="J178" i="46"/>
  <c r="J177" i="46"/>
  <c r="J176" i="46"/>
  <c r="J175" i="46"/>
  <c r="J174" i="46"/>
  <c r="J173" i="46"/>
  <c r="J172" i="46"/>
  <c r="J171" i="46"/>
  <c r="J170" i="46"/>
  <c r="J169" i="46"/>
  <c r="J168" i="46"/>
  <c r="J167" i="46"/>
  <c r="J166" i="46"/>
  <c r="J165" i="46"/>
  <c r="J164" i="46"/>
  <c r="J163" i="46"/>
  <c r="J162" i="46"/>
  <c r="J161" i="46"/>
  <c r="J160" i="46"/>
  <c r="J159" i="46"/>
  <c r="J158" i="46"/>
  <c r="J157" i="46"/>
  <c r="J156" i="46"/>
  <c r="J155" i="46"/>
  <c r="J154" i="46"/>
  <c r="J153" i="46"/>
  <c r="J152" i="46"/>
  <c r="J151" i="46"/>
  <c r="J150" i="46"/>
  <c r="J149" i="46"/>
  <c r="J148" i="46"/>
  <c r="J147" i="46"/>
  <c r="J146" i="46"/>
  <c r="J145" i="46"/>
  <c r="J144" i="46"/>
  <c r="J143" i="46"/>
  <c r="J142" i="46"/>
  <c r="J141" i="46"/>
  <c r="J140" i="46"/>
  <c r="J139" i="46"/>
  <c r="J138" i="46"/>
  <c r="J137" i="46"/>
  <c r="J136" i="46"/>
  <c r="J135" i="46"/>
  <c r="J134" i="46"/>
  <c r="J133" i="46"/>
  <c r="J132" i="46"/>
  <c r="J131" i="46"/>
  <c r="J130" i="46"/>
  <c r="J129" i="46"/>
  <c r="J128" i="46"/>
  <c r="J127" i="46"/>
  <c r="J126" i="46"/>
  <c r="J125" i="46"/>
  <c r="J124" i="46"/>
  <c r="J123" i="46"/>
  <c r="J122" i="46"/>
  <c r="J121" i="46"/>
  <c r="J120" i="46"/>
  <c r="J119" i="46"/>
  <c r="J118" i="46"/>
  <c r="J117" i="46"/>
  <c r="J116" i="46"/>
  <c r="J115" i="46"/>
  <c r="J114" i="46"/>
  <c r="J113" i="46"/>
  <c r="J112" i="46"/>
  <c r="J111" i="46"/>
  <c r="J110" i="46"/>
  <c r="J109" i="46"/>
  <c r="J108" i="46"/>
  <c r="J107" i="46"/>
  <c r="J106" i="46"/>
  <c r="J105" i="46"/>
  <c r="J104" i="46"/>
  <c r="J103" i="46"/>
  <c r="J102" i="46"/>
  <c r="J101" i="46"/>
  <c r="J100" i="46"/>
  <c r="J99" i="46"/>
  <c r="J98" i="46"/>
  <c r="J97" i="46"/>
  <c r="J96" i="46"/>
  <c r="J95" i="46"/>
  <c r="J94" i="46"/>
  <c r="J93" i="46"/>
  <c r="J92" i="46"/>
  <c r="J91" i="46"/>
  <c r="J90" i="46"/>
  <c r="J89" i="46"/>
  <c r="J88" i="46"/>
  <c r="J87" i="46"/>
  <c r="J86" i="46"/>
  <c r="J85" i="46"/>
  <c r="J84" i="46"/>
  <c r="J83" i="46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8" i="46"/>
  <c r="J57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J8" i="46"/>
  <c r="J7" i="46"/>
  <c r="J6" i="46"/>
  <c r="J5" i="46"/>
  <c r="F7" i="12"/>
  <c r="J270" i="45"/>
  <c r="J269" i="45"/>
  <c r="J268" i="45"/>
  <c r="J267" i="45"/>
  <c r="J266" i="45"/>
  <c r="J265" i="45"/>
  <c r="J264" i="45"/>
  <c r="J263" i="45"/>
  <c r="J262" i="45"/>
  <c r="J261" i="45"/>
  <c r="J260" i="45"/>
  <c r="J259" i="45"/>
  <c r="J258" i="45"/>
  <c r="J257" i="45"/>
  <c r="J256" i="45"/>
  <c r="J255" i="45"/>
  <c r="J254" i="45"/>
  <c r="J253" i="45"/>
  <c r="J252" i="45"/>
  <c r="J251" i="45"/>
  <c r="J250" i="45"/>
  <c r="J249" i="45"/>
  <c r="J248" i="45"/>
  <c r="J247" i="45"/>
  <c r="J246" i="45"/>
  <c r="J245" i="45"/>
  <c r="J244" i="45"/>
  <c r="J243" i="45"/>
  <c r="J242" i="45"/>
  <c r="J241" i="45"/>
  <c r="J240" i="45"/>
  <c r="J239" i="45"/>
  <c r="J238" i="45"/>
  <c r="J237" i="45"/>
  <c r="J236" i="45"/>
  <c r="J235" i="45"/>
  <c r="J234" i="45"/>
  <c r="J233" i="45"/>
  <c r="J232" i="45"/>
  <c r="J231" i="45"/>
  <c r="J230" i="45"/>
  <c r="J229" i="45"/>
  <c r="J228" i="45"/>
  <c r="J227" i="45"/>
  <c r="J226" i="45"/>
  <c r="J225" i="45"/>
  <c r="J224" i="45"/>
  <c r="J223" i="45"/>
  <c r="J222" i="45"/>
  <c r="J221" i="45"/>
  <c r="J220" i="45"/>
  <c r="J219" i="45"/>
  <c r="J218" i="45"/>
  <c r="J217" i="45"/>
  <c r="J216" i="45"/>
  <c r="J215" i="45"/>
  <c r="J214" i="45"/>
  <c r="J213" i="45"/>
  <c r="J212" i="45"/>
  <c r="J211" i="45"/>
  <c r="J210" i="45"/>
  <c r="J209" i="45"/>
  <c r="J208" i="45"/>
  <c r="J207" i="45"/>
  <c r="J206" i="45"/>
  <c r="J205" i="45"/>
  <c r="J204" i="45"/>
  <c r="J203" i="45"/>
  <c r="J202" i="45"/>
  <c r="J201" i="45"/>
  <c r="J200" i="45"/>
  <c r="J199" i="45"/>
  <c r="J198" i="45"/>
  <c r="J197" i="45"/>
  <c r="J196" i="45"/>
  <c r="J195" i="45"/>
  <c r="J194" i="45"/>
  <c r="J193" i="45"/>
  <c r="J192" i="45"/>
  <c r="J191" i="45"/>
  <c r="J190" i="45"/>
  <c r="J189" i="45"/>
  <c r="J188" i="45"/>
  <c r="J187" i="45"/>
  <c r="J186" i="45"/>
  <c r="J185" i="45"/>
  <c r="J184" i="45"/>
  <c r="J183" i="45"/>
  <c r="J182" i="45"/>
  <c r="J181" i="45"/>
  <c r="J180" i="45"/>
  <c r="J179" i="45"/>
  <c r="J178" i="45"/>
  <c r="J177" i="45"/>
  <c r="J176" i="45"/>
  <c r="J175" i="45"/>
  <c r="J174" i="45"/>
  <c r="J173" i="45"/>
  <c r="J172" i="45"/>
  <c r="J171" i="45"/>
  <c r="J170" i="45"/>
  <c r="J169" i="45"/>
  <c r="J168" i="45"/>
  <c r="J167" i="45"/>
  <c r="J166" i="45"/>
  <c r="J165" i="45"/>
  <c r="J164" i="45"/>
  <c r="J163" i="45"/>
  <c r="J162" i="45"/>
  <c r="J161" i="45"/>
  <c r="J160" i="45"/>
  <c r="J159" i="45"/>
  <c r="J158" i="45"/>
  <c r="J157" i="45"/>
  <c r="J156" i="45"/>
  <c r="J155" i="45"/>
  <c r="J154" i="45"/>
  <c r="J153" i="45"/>
  <c r="J152" i="45"/>
  <c r="J151" i="45"/>
  <c r="J150" i="45"/>
  <c r="J149" i="45"/>
  <c r="J148" i="45"/>
  <c r="J147" i="45"/>
  <c r="J146" i="45"/>
  <c r="J145" i="45"/>
  <c r="J144" i="45"/>
  <c r="J143" i="45"/>
  <c r="J142" i="45"/>
  <c r="J141" i="45"/>
  <c r="J140" i="45"/>
  <c r="J139" i="45"/>
  <c r="J138" i="45"/>
  <c r="J137" i="45"/>
  <c r="J136" i="45"/>
  <c r="J135" i="45"/>
  <c r="J134" i="45"/>
  <c r="J133" i="45"/>
  <c r="J132" i="45"/>
  <c r="J131" i="45"/>
  <c r="J130" i="45"/>
  <c r="J129" i="45"/>
  <c r="J128" i="45"/>
  <c r="J127" i="45"/>
  <c r="J126" i="45"/>
  <c r="J125" i="45"/>
  <c r="J124" i="45"/>
  <c r="J123" i="45"/>
  <c r="J122" i="45"/>
  <c r="J121" i="45"/>
  <c r="J120" i="45"/>
  <c r="J119" i="45"/>
  <c r="J118" i="45"/>
  <c r="J117" i="45"/>
  <c r="J116" i="45"/>
  <c r="J115" i="45"/>
  <c r="J114" i="45"/>
  <c r="J113" i="45"/>
  <c r="J112" i="45"/>
  <c r="J111" i="45"/>
  <c r="J110" i="45"/>
  <c r="J109" i="45"/>
  <c r="J108" i="45"/>
  <c r="J107" i="45"/>
  <c r="J106" i="45"/>
  <c r="J105" i="45"/>
  <c r="J104" i="45"/>
  <c r="J103" i="45"/>
  <c r="J102" i="45"/>
  <c r="J101" i="45"/>
  <c r="J100" i="45"/>
  <c r="J99" i="45"/>
  <c r="J98" i="45"/>
  <c r="J97" i="45"/>
  <c r="J96" i="45"/>
  <c r="J95" i="45"/>
  <c r="J94" i="45"/>
  <c r="J93" i="45"/>
  <c r="J92" i="45"/>
  <c r="J91" i="45"/>
  <c r="J90" i="45"/>
  <c r="J89" i="45"/>
  <c r="J88" i="45"/>
  <c r="J87" i="45"/>
  <c r="J86" i="45"/>
  <c r="J85" i="45"/>
  <c r="J84" i="45"/>
  <c r="J83" i="45"/>
  <c r="J82" i="45"/>
  <c r="J81" i="45"/>
  <c r="J80" i="45"/>
  <c r="J79" i="45"/>
  <c r="J78" i="45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N6" i="12"/>
  <c r="N7" i="12"/>
  <c r="J7" i="12"/>
  <c r="N8" i="12"/>
  <c r="J8" i="12"/>
  <c r="N9" i="12"/>
  <c r="J9" i="12"/>
  <c r="N10" i="12"/>
  <c r="N11" i="12"/>
  <c r="J11" i="12"/>
  <c r="H12" i="12"/>
  <c r="N13" i="12"/>
  <c r="J13" i="12"/>
  <c r="N14" i="12"/>
  <c r="N15" i="12"/>
  <c r="J15" i="12"/>
  <c r="N16" i="12"/>
  <c r="N17" i="12"/>
  <c r="J17" i="12"/>
  <c r="N18" i="12"/>
  <c r="N19" i="12"/>
  <c r="J19" i="12"/>
  <c r="N20" i="12"/>
  <c r="H21" i="12"/>
  <c r="N23" i="12"/>
  <c r="J23" i="12"/>
  <c r="N24" i="12"/>
  <c r="H7" i="12"/>
  <c r="H9" i="12"/>
  <c r="H11" i="12"/>
  <c r="H13" i="12"/>
  <c r="H17" i="12"/>
  <c r="H19" i="12"/>
  <c r="N5" i="12"/>
  <c r="J5" i="12"/>
  <c r="N204" i="48"/>
  <c r="N219" i="48"/>
  <c r="P219" i="48"/>
  <c r="N209" i="48"/>
  <c r="P209" i="48"/>
  <c r="N216" i="48"/>
  <c r="P216" i="48"/>
  <c r="N205" i="48"/>
  <c r="N217" i="48"/>
  <c r="R217" i="48"/>
  <c r="T217" i="48"/>
  <c r="N207" i="48"/>
  <c r="P207" i="48"/>
  <c r="N214" i="48"/>
  <c r="P214" i="48"/>
  <c r="H15" i="12"/>
  <c r="H24" i="12"/>
  <c r="J24" i="12"/>
  <c r="H18" i="12"/>
  <c r="J18" i="12"/>
  <c r="N203" i="48"/>
  <c r="N225" i="48"/>
  <c r="R225" i="48"/>
  <c r="T225" i="48"/>
  <c r="N215" i="48"/>
  <c r="P215" i="48"/>
  <c r="N222" i="48"/>
  <c r="R222" i="48"/>
  <c r="T222" i="48"/>
  <c r="N212" i="48"/>
  <c r="P212" i="48"/>
  <c r="H20" i="12"/>
  <c r="J20" i="12"/>
  <c r="N223" i="48"/>
  <c r="P223" i="48"/>
  <c r="N213" i="48"/>
  <c r="R213" i="48"/>
  <c r="T213" i="48"/>
  <c r="N210" i="48"/>
  <c r="P210" i="48"/>
  <c r="H10" i="12"/>
  <c r="J10" i="12"/>
  <c r="H14" i="12"/>
  <c r="J14" i="12"/>
  <c r="N220" i="48"/>
  <c r="P220" i="48"/>
  <c r="H23" i="12"/>
  <c r="H16" i="12"/>
  <c r="J16" i="12"/>
  <c r="H6" i="12"/>
  <c r="J6" i="12"/>
  <c r="N202" i="48"/>
  <c r="N201" i="48"/>
  <c r="N221" i="48"/>
  <c r="R221" i="48"/>
  <c r="T221" i="48"/>
  <c r="N211" i="48"/>
  <c r="P211" i="48"/>
  <c r="N218" i="48"/>
  <c r="P218" i="48"/>
  <c r="T200" i="48"/>
  <c r="U200" i="48"/>
  <c r="Y200" i="48"/>
  <c r="R223" i="48"/>
  <c r="T223" i="48"/>
  <c r="P208" i="48"/>
  <c r="R208" i="48"/>
  <c r="T208" i="48"/>
  <c r="T203" i="48"/>
  <c r="U203" i="48"/>
  <c r="Y203" i="48"/>
  <c r="AA203" i="48"/>
  <c r="T204" i="48"/>
  <c r="U204" i="48"/>
  <c r="Y204" i="48"/>
  <c r="AA204" i="48"/>
  <c r="T202" i="48"/>
  <c r="U202" i="48"/>
  <c r="Y202" i="48"/>
  <c r="AA202" i="48"/>
  <c r="T201" i="48"/>
  <c r="U201" i="48"/>
  <c r="Y201" i="48"/>
  <c r="AA201" i="48"/>
  <c r="T205" i="48"/>
  <c r="U205" i="48"/>
  <c r="Y205" i="48"/>
  <c r="AA205" i="48"/>
  <c r="F14" i="12"/>
  <c r="F16" i="12"/>
  <c r="F15" i="12"/>
  <c r="H22" i="12"/>
  <c r="J22" i="12"/>
  <c r="F8" i="12"/>
  <c r="H5" i="12"/>
  <c r="R214" i="48"/>
  <c r="T214" i="48"/>
  <c r="U214" i="48"/>
  <c r="Y214" i="48"/>
  <c r="P217" i="48"/>
  <c r="U217" i="48"/>
  <c r="Y217" i="48"/>
  <c r="R209" i="48"/>
  <c r="T209" i="48"/>
  <c r="U209" i="48"/>
  <c r="Y209" i="48"/>
  <c r="R207" i="48"/>
  <c r="T207" i="48"/>
  <c r="U207" i="48"/>
  <c r="Y207" i="48"/>
  <c r="R210" i="48"/>
  <c r="T210" i="48"/>
  <c r="U210" i="48"/>
  <c r="Y210" i="48"/>
  <c r="P225" i="48"/>
  <c r="U225" i="48"/>
  <c r="Y225" i="48"/>
  <c r="R218" i="48"/>
  <c r="T218" i="48"/>
  <c r="U218" i="48"/>
  <c r="Y218" i="48"/>
  <c r="R219" i="48"/>
  <c r="T219" i="48"/>
  <c r="U219" i="48"/>
  <c r="Y219" i="48"/>
  <c r="P222" i="48"/>
  <c r="U222" i="48"/>
  <c r="Y222" i="48"/>
  <c r="R220" i="48"/>
  <c r="T220" i="48"/>
  <c r="U220" i="48"/>
  <c r="Y220" i="48"/>
  <c r="P221" i="48"/>
  <c r="U221" i="48"/>
  <c r="Y221" i="48"/>
  <c r="R212" i="48"/>
  <c r="T212" i="48"/>
  <c r="U212" i="48"/>
  <c r="Y212" i="48"/>
  <c r="P213" i="48"/>
  <c r="U213" i="48"/>
  <c r="Y213" i="48"/>
  <c r="R216" i="48"/>
  <c r="T216" i="48"/>
  <c r="U216" i="48"/>
  <c r="Y216" i="48"/>
  <c r="R215" i="48"/>
  <c r="T215" i="48"/>
  <c r="U215" i="48"/>
  <c r="Y215" i="48"/>
  <c r="R211" i="48"/>
  <c r="T211" i="48"/>
  <c r="U211" i="48"/>
  <c r="Y211" i="48"/>
  <c r="U208" i="48"/>
  <c r="Y208" i="48"/>
  <c r="U223" i="48"/>
  <c r="Y223" i="48"/>
  <c r="AH48" i="5"/>
  <c r="AH49" i="5"/>
  <c r="D49" i="5"/>
  <c r="N49" i="5"/>
  <c r="T49" i="5"/>
  <c r="V49" i="5"/>
  <c r="AB49" i="5"/>
  <c r="AD49" i="5"/>
  <c r="AJ49" i="5"/>
  <c r="D48" i="5"/>
  <c r="N48" i="5"/>
  <c r="T48" i="5"/>
  <c r="V48" i="5"/>
  <c r="AB48" i="5"/>
  <c r="AD48" i="5"/>
  <c r="AF48" i="5"/>
  <c r="AJ48" i="5"/>
  <c r="D47" i="5"/>
  <c r="N47" i="5"/>
  <c r="T47" i="5"/>
  <c r="V47" i="5"/>
  <c r="AB47" i="5"/>
  <c r="AD47" i="5"/>
  <c r="AF47" i="5"/>
  <c r="AH47" i="5"/>
  <c r="AJ47" i="5"/>
  <c r="AJ5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0" i="5"/>
  <c r="AJ31" i="5"/>
  <c r="AJ32" i="5"/>
  <c r="AJ33" i="5"/>
  <c r="AJ34" i="5"/>
  <c r="AJ35" i="5"/>
  <c r="AJ38" i="5"/>
  <c r="AJ39" i="5"/>
  <c r="AJ40" i="5"/>
  <c r="AJ41" i="5"/>
  <c r="AJ42" i="5"/>
  <c r="AJ43" i="5"/>
  <c r="AJ44" i="5"/>
  <c r="AJ45" i="5"/>
  <c r="AJ46" i="5"/>
  <c r="AJ52" i="5"/>
  <c r="AJ53" i="5"/>
  <c r="AJ54" i="5"/>
  <c r="AJ55" i="5"/>
  <c r="AJ56" i="5"/>
  <c r="AJ57" i="5"/>
  <c r="AJ58" i="5"/>
  <c r="AJ4" i="5"/>
  <c r="AH58" i="5"/>
  <c r="AH57" i="5"/>
  <c r="AH56" i="5"/>
  <c r="AH55" i="5"/>
  <c r="AH54" i="5"/>
  <c r="AF55" i="5"/>
  <c r="AF56" i="5"/>
  <c r="AF57" i="5"/>
  <c r="AF58" i="5"/>
  <c r="AF54" i="5"/>
  <c r="AH41" i="5"/>
  <c r="AH42" i="5"/>
  <c r="AH43" i="5"/>
  <c r="AH44" i="5"/>
  <c r="AH45" i="5"/>
  <c r="AH46" i="5"/>
  <c r="AH40" i="5"/>
  <c r="AF41" i="5"/>
  <c r="AF42" i="5"/>
  <c r="AF43" i="5"/>
  <c r="AF44" i="5"/>
  <c r="AF45" i="5"/>
  <c r="AF46" i="5"/>
  <c r="AF40" i="5"/>
  <c r="AH5" i="5"/>
  <c r="AH6" i="5"/>
  <c r="AH7" i="5"/>
  <c r="AH8" i="5"/>
  <c r="AH9" i="5"/>
  <c r="AH10" i="5"/>
  <c r="AH11" i="5"/>
  <c r="AH12" i="5"/>
  <c r="AH13" i="5"/>
  <c r="AH14" i="5"/>
  <c r="AH15" i="5"/>
  <c r="AH16" i="5"/>
  <c r="AH17" i="5"/>
  <c r="AH18" i="5"/>
  <c r="AH19" i="5"/>
  <c r="AH20" i="5"/>
  <c r="AH21" i="5"/>
  <c r="AH22" i="5"/>
  <c r="AH23" i="5"/>
  <c r="AH24" i="5"/>
  <c r="AH25" i="5"/>
  <c r="AH26" i="5"/>
  <c r="AH27" i="5"/>
  <c r="AH28" i="5"/>
  <c r="AH29" i="5"/>
  <c r="AH30" i="5"/>
  <c r="AH31" i="5"/>
  <c r="AH32" i="5"/>
  <c r="AH33" i="5"/>
  <c r="AH34" i="5"/>
  <c r="AH35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H4" i="5"/>
  <c r="AF4" i="5"/>
  <c r="AD55" i="5"/>
  <c r="AD56" i="5"/>
  <c r="AD57" i="5"/>
  <c r="AD58" i="5"/>
  <c r="AD54" i="5"/>
  <c r="AD41" i="5"/>
  <c r="AD42" i="5"/>
  <c r="AD43" i="5"/>
  <c r="AD44" i="5"/>
  <c r="AD45" i="5"/>
  <c r="AD46" i="5"/>
  <c r="AD40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4" i="5"/>
  <c r="AB55" i="5"/>
  <c r="AB54" i="5"/>
  <c r="AB56" i="5"/>
  <c r="AB57" i="5"/>
  <c r="AB58" i="5"/>
  <c r="AB60" i="5"/>
  <c r="E19" i="7"/>
  <c r="AB41" i="5"/>
  <c r="AB40" i="5"/>
  <c r="AB42" i="5"/>
  <c r="AB43" i="5"/>
  <c r="AB44" i="5"/>
  <c r="AB45" i="5"/>
  <c r="AB46" i="5"/>
  <c r="AB51" i="5"/>
  <c r="D19" i="7"/>
  <c r="AB5" i="5"/>
  <c r="AB6" i="5"/>
  <c r="AB7" i="5"/>
  <c r="AB8" i="5"/>
  <c r="AB4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7" i="5"/>
  <c r="C19" i="7"/>
  <c r="V45" i="5"/>
  <c r="V46" i="5"/>
  <c r="T42" i="5"/>
  <c r="T43" i="5"/>
  <c r="T44" i="5"/>
  <c r="T45" i="5"/>
  <c r="T46" i="5"/>
  <c r="N41" i="5"/>
  <c r="N42" i="5"/>
  <c r="N43" i="5"/>
  <c r="N44" i="5"/>
  <c r="N45" i="5"/>
  <c r="N46" i="5"/>
  <c r="D42" i="5"/>
  <c r="D43" i="5"/>
  <c r="D44" i="5"/>
  <c r="D45" i="5"/>
  <c r="D46" i="5"/>
  <c r="Z58" i="5"/>
  <c r="Z57" i="5"/>
  <c r="Z56" i="5"/>
  <c r="Z55" i="5"/>
  <c r="Z54" i="5"/>
  <c r="Z46" i="5"/>
  <c r="Z45" i="5"/>
  <c r="Z44" i="5"/>
  <c r="Z43" i="5"/>
  <c r="Z42" i="5"/>
  <c r="Z41" i="5"/>
  <c r="Z40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4" i="5"/>
  <c r="Z37" i="5"/>
  <c r="C18" i="7"/>
  <c r="X55" i="5"/>
  <c r="X56" i="5"/>
  <c r="X57" i="5"/>
  <c r="X58" i="5"/>
  <c r="X54" i="5"/>
  <c r="X60" i="5"/>
  <c r="E17" i="7"/>
  <c r="X41" i="5"/>
  <c r="X42" i="5"/>
  <c r="X43" i="5"/>
  <c r="X40" i="5"/>
  <c r="X44" i="5"/>
  <c r="X45" i="5"/>
  <c r="X46" i="5"/>
  <c r="X51" i="5"/>
  <c r="D17" i="7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4" i="5"/>
  <c r="D35" i="5"/>
  <c r="F35" i="5"/>
  <c r="H35" i="5"/>
  <c r="J35" i="5"/>
  <c r="L35" i="5"/>
  <c r="N35" i="5"/>
  <c r="P35" i="5"/>
  <c r="R35" i="5"/>
  <c r="T35" i="5"/>
  <c r="D34" i="5"/>
  <c r="F34" i="5"/>
  <c r="H34" i="5"/>
  <c r="J34" i="5"/>
  <c r="L34" i="5"/>
  <c r="N34" i="5"/>
  <c r="P34" i="5"/>
  <c r="R34" i="5"/>
  <c r="T34" i="5"/>
  <c r="D33" i="5"/>
  <c r="F33" i="5"/>
  <c r="H33" i="5"/>
  <c r="J33" i="5"/>
  <c r="L33" i="5"/>
  <c r="N33" i="5"/>
  <c r="P33" i="5"/>
  <c r="R33" i="5"/>
  <c r="T33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4" i="5"/>
  <c r="V55" i="5"/>
  <c r="V56" i="5"/>
  <c r="V57" i="5"/>
  <c r="V58" i="5"/>
  <c r="V54" i="5"/>
  <c r="V60" i="5"/>
  <c r="E20" i="7"/>
  <c r="V41" i="5"/>
  <c r="V42" i="5"/>
  <c r="V43" i="5"/>
  <c r="V44" i="5"/>
  <c r="V40" i="5"/>
  <c r="Z51" i="5"/>
  <c r="D18" i="7"/>
  <c r="T55" i="5"/>
  <c r="T56" i="5"/>
  <c r="T57" i="5"/>
  <c r="T54" i="5"/>
  <c r="T40" i="5"/>
  <c r="T5" i="5"/>
  <c r="T6" i="5"/>
  <c r="T4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7" i="5"/>
  <c r="C15" i="7"/>
  <c r="D31" i="5"/>
  <c r="D32" i="5"/>
  <c r="F32" i="5"/>
  <c r="H32" i="5"/>
  <c r="J32" i="5"/>
  <c r="L32" i="5"/>
  <c r="N32" i="5"/>
  <c r="P32" i="5"/>
  <c r="R32" i="5"/>
  <c r="F31" i="5"/>
  <c r="H31" i="5"/>
  <c r="J31" i="5"/>
  <c r="L31" i="5"/>
  <c r="N31" i="5"/>
  <c r="P31" i="5"/>
  <c r="R31" i="5"/>
  <c r="R55" i="5"/>
  <c r="R56" i="5"/>
  <c r="R57" i="5"/>
  <c r="R54" i="5"/>
  <c r="R40" i="5"/>
  <c r="R5" i="5"/>
  <c r="R4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7" i="5"/>
  <c r="C14" i="7"/>
  <c r="P55" i="5"/>
  <c r="P56" i="5"/>
  <c r="P57" i="5"/>
  <c r="P54" i="5"/>
  <c r="P60" i="5"/>
  <c r="E13" i="7"/>
  <c r="P40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N57" i="5"/>
  <c r="N56" i="5"/>
  <c r="N55" i="5"/>
  <c r="N54" i="5"/>
  <c r="N40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4" i="5"/>
  <c r="N37" i="5"/>
  <c r="C12" i="7"/>
  <c r="L57" i="5"/>
  <c r="L56" i="5"/>
  <c r="L55" i="5"/>
  <c r="L54" i="5"/>
  <c r="L41" i="5"/>
  <c r="L40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4" i="5"/>
  <c r="J57" i="5"/>
  <c r="J56" i="5"/>
  <c r="J54" i="5"/>
  <c r="J55" i="5"/>
  <c r="J60" i="5"/>
  <c r="E10" i="7"/>
  <c r="J40" i="5"/>
  <c r="J19" i="5"/>
  <c r="J20" i="5"/>
  <c r="J21" i="5"/>
  <c r="J22" i="5"/>
  <c r="J23" i="5"/>
  <c r="J24" i="5"/>
  <c r="J25" i="5"/>
  <c r="J26" i="5"/>
  <c r="J27" i="5"/>
  <c r="J28" i="5"/>
  <c r="J29" i="5"/>
  <c r="J30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4" i="5"/>
  <c r="H58" i="5"/>
  <c r="H57" i="5"/>
  <c r="H56" i="5"/>
  <c r="H55" i="5"/>
  <c r="H54" i="5"/>
  <c r="H40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5" i="5"/>
  <c r="H6" i="5"/>
  <c r="H7" i="5"/>
  <c r="H8" i="5"/>
  <c r="H9" i="5"/>
  <c r="H10" i="5"/>
  <c r="H11" i="5"/>
  <c r="H4" i="5"/>
  <c r="F55" i="5"/>
  <c r="F56" i="5"/>
  <c r="F57" i="5"/>
  <c r="F58" i="5"/>
  <c r="F54" i="5"/>
  <c r="F40" i="5"/>
  <c r="F5" i="5"/>
  <c r="F6" i="5"/>
  <c r="F7" i="5"/>
  <c r="F4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7" i="5"/>
  <c r="C8" i="7"/>
  <c r="D55" i="5"/>
  <c r="D56" i="5"/>
  <c r="D57" i="5"/>
  <c r="D58" i="5"/>
  <c r="D54" i="5"/>
  <c r="D40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4" i="5"/>
  <c r="D37" i="5"/>
  <c r="C6" i="7"/>
  <c r="B41" i="5"/>
  <c r="T41" i="5"/>
  <c r="F41" i="5"/>
  <c r="J41" i="5"/>
  <c r="J51" i="5"/>
  <c r="D10" i="7"/>
  <c r="R41" i="5"/>
  <c r="R51" i="5"/>
  <c r="D14" i="7"/>
  <c r="H41" i="5"/>
  <c r="H51" i="5"/>
  <c r="D9" i="7"/>
  <c r="P41" i="5"/>
  <c r="P51" i="5"/>
  <c r="D13" i="7"/>
  <c r="F60" i="5"/>
  <c r="E8" i="7"/>
  <c r="L60" i="5"/>
  <c r="E11" i="7"/>
  <c r="AD37" i="5"/>
  <c r="C16" i="7"/>
  <c r="D60" i="5"/>
  <c r="E6" i="7"/>
  <c r="N60" i="5"/>
  <c r="E12" i="7"/>
  <c r="T60" i="5"/>
  <c r="E15" i="7"/>
  <c r="R60" i="5"/>
  <c r="E14" i="7"/>
  <c r="J37" i="5"/>
  <c r="C10" i="7"/>
  <c r="L51" i="5"/>
  <c r="D11" i="7"/>
  <c r="Z60" i="5"/>
  <c r="E18" i="7"/>
  <c r="AH60" i="5"/>
  <c r="E4" i="7"/>
  <c r="N191" i="48"/>
  <c r="N224" i="48"/>
  <c r="L224" i="48"/>
  <c r="M224" i="48"/>
  <c r="AA224" i="48"/>
  <c r="L206" i="48"/>
  <c r="N206" i="48"/>
  <c r="N186" i="48"/>
  <c r="N172" i="48"/>
  <c r="N171" i="48"/>
  <c r="N166" i="48"/>
  <c r="N145" i="48"/>
  <c r="N138" i="48"/>
  <c r="N179" i="48"/>
  <c r="N178" i="48"/>
  <c r="N177" i="48"/>
  <c r="N153" i="48"/>
  <c r="M199" i="48"/>
  <c r="AA199" i="48"/>
  <c r="M198" i="48"/>
  <c r="AA198" i="48"/>
  <c r="M22" i="48"/>
  <c r="M144" i="48"/>
  <c r="M72" i="48"/>
  <c r="M23" i="48"/>
  <c r="M62" i="48"/>
  <c r="L33" i="48"/>
  <c r="L13" i="48"/>
  <c r="L7" i="48"/>
  <c r="N146" i="48"/>
  <c r="N139" i="48"/>
  <c r="N136" i="48"/>
  <c r="N132" i="48"/>
  <c r="N128" i="48"/>
  <c r="N115" i="48"/>
  <c r="N109" i="48"/>
  <c r="N83" i="48"/>
  <c r="N80" i="48"/>
  <c r="N78" i="48"/>
  <c r="N76" i="48"/>
  <c r="N66" i="48"/>
  <c r="N64" i="48"/>
  <c r="N192" i="48"/>
  <c r="N130" i="48"/>
  <c r="N107" i="48"/>
  <c r="N102" i="48"/>
  <c r="N100" i="48"/>
  <c r="N94" i="48"/>
  <c r="N89" i="48"/>
  <c r="N74" i="48"/>
  <c r="N57" i="48"/>
  <c r="N55" i="48"/>
  <c r="N53" i="48"/>
  <c r="N47" i="48"/>
  <c r="N41" i="48"/>
  <c r="N39" i="48"/>
  <c r="N34" i="48"/>
  <c r="N32" i="48"/>
  <c r="N29" i="48"/>
  <c r="N21" i="48"/>
  <c r="N17" i="48"/>
  <c r="N14" i="48"/>
  <c r="N12" i="48"/>
  <c r="N8" i="48"/>
  <c r="N6" i="48"/>
  <c r="N4" i="48"/>
  <c r="N25" i="48"/>
  <c r="L144" i="48"/>
  <c r="L72" i="48"/>
  <c r="L62" i="48"/>
  <c r="L23" i="48"/>
  <c r="N144" i="48"/>
  <c r="N72" i="48"/>
  <c r="N62" i="48"/>
  <c r="N23" i="48"/>
  <c r="L197" i="48"/>
  <c r="L195" i="48"/>
  <c r="L147" i="48"/>
  <c r="L143" i="48"/>
  <c r="L142" i="48"/>
  <c r="L141" i="48"/>
  <c r="L140" i="48"/>
  <c r="L137" i="48"/>
  <c r="L118" i="48"/>
  <c r="L117" i="48"/>
  <c r="L116" i="48"/>
  <c r="L105" i="48"/>
  <c r="L104" i="48"/>
  <c r="L85" i="48"/>
  <c r="L84" i="48"/>
  <c r="L81" i="48"/>
  <c r="L71" i="48"/>
  <c r="L70" i="48"/>
  <c r="L69" i="48"/>
  <c r="L68" i="48"/>
  <c r="L67" i="48"/>
  <c r="L61" i="48"/>
  <c r="L196" i="48"/>
  <c r="L194" i="48"/>
  <c r="L193" i="48"/>
  <c r="L103" i="48"/>
  <c r="L98" i="48"/>
  <c r="L97" i="48"/>
  <c r="L96" i="48"/>
  <c r="L95" i="48"/>
  <c r="L92" i="48"/>
  <c r="L91" i="48"/>
  <c r="L90" i="48"/>
  <c r="L86" i="48"/>
  <c r="L60" i="48"/>
  <c r="L59" i="48"/>
  <c r="L58" i="48"/>
  <c r="L51" i="48"/>
  <c r="L50" i="48"/>
  <c r="L49" i="48"/>
  <c r="L48" i="48"/>
  <c r="L45" i="48"/>
  <c r="L44" i="48"/>
  <c r="L43" i="48"/>
  <c r="L42" i="48"/>
  <c r="L36" i="48"/>
  <c r="L35" i="48"/>
  <c r="L30" i="48"/>
  <c r="L19" i="48"/>
  <c r="L18" i="48"/>
  <c r="L15" i="48"/>
  <c r="L10" i="48"/>
  <c r="L9" i="48"/>
  <c r="L27" i="48"/>
  <c r="L26" i="48"/>
  <c r="N197" i="48"/>
  <c r="N195" i="48"/>
  <c r="N147" i="48"/>
  <c r="N143" i="48"/>
  <c r="N142" i="48"/>
  <c r="N141" i="48"/>
  <c r="N140" i="48"/>
  <c r="N137" i="48"/>
  <c r="N118" i="48"/>
  <c r="N117" i="48"/>
  <c r="N116" i="48"/>
  <c r="N105" i="48"/>
  <c r="N104" i="48"/>
  <c r="N85" i="48"/>
  <c r="N84" i="48"/>
  <c r="N81" i="48"/>
  <c r="N71" i="48"/>
  <c r="N70" i="48"/>
  <c r="N69" i="48"/>
  <c r="N68" i="48"/>
  <c r="N67" i="48"/>
  <c r="N61" i="48"/>
  <c r="N196" i="48"/>
  <c r="N194" i="48"/>
  <c r="N193" i="48"/>
  <c r="N103" i="48"/>
  <c r="N98" i="48"/>
  <c r="N97" i="48"/>
  <c r="N96" i="48"/>
  <c r="N95" i="48"/>
  <c r="N92" i="48"/>
  <c r="N91" i="48"/>
  <c r="N90" i="48"/>
  <c r="N86" i="48"/>
  <c r="N60" i="48"/>
  <c r="N59" i="48"/>
  <c r="N58" i="48"/>
  <c r="N51" i="48"/>
  <c r="N50" i="48"/>
  <c r="N49" i="48"/>
  <c r="N48" i="48"/>
  <c r="N45" i="48"/>
  <c r="N44" i="48"/>
  <c r="N43" i="48"/>
  <c r="N42" i="48"/>
  <c r="N36" i="48"/>
  <c r="N35" i="48"/>
  <c r="N30" i="48"/>
  <c r="N19" i="48"/>
  <c r="N18" i="48"/>
  <c r="N15" i="48"/>
  <c r="N10" i="48"/>
  <c r="N9" i="48"/>
  <c r="N27" i="48"/>
  <c r="N26" i="48"/>
  <c r="N188" i="48"/>
  <c r="N187" i="48"/>
  <c r="N184" i="48"/>
  <c r="N183" i="48"/>
  <c r="N182" i="48"/>
  <c r="N180" i="48"/>
  <c r="N169" i="48"/>
  <c r="N168" i="48"/>
  <c r="N164" i="48"/>
  <c r="N162" i="48"/>
  <c r="N154" i="48"/>
  <c r="N151" i="48"/>
  <c r="N159" i="48"/>
  <c r="N33" i="48"/>
  <c r="N13" i="48"/>
  <c r="N7" i="48"/>
  <c r="L37" i="48"/>
  <c r="L31" i="48"/>
  <c r="L20" i="48"/>
  <c r="L16" i="48"/>
  <c r="L11" i="48"/>
  <c r="L5" i="48"/>
  <c r="L3" i="48"/>
  <c r="L28" i="48"/>
  <c r="L24" i="48"/>
  <c r="L122" i="48"/>
  <c r="L120" i="48"/>
  <c r="L113" i="48"/>
  <c r="L111" i="48"/>
  <c r="M122" i="48"/>
  <c r="AA122" i="48"/>
  <c r="M120" i="48"/>
  <c r="AA120" i="48"/>
  <c r="M113" i="48"/>
  <c r="AA113" i="48"/>
  <c r="M111" i="48"/>
  <c r="AA111" i="48"/>
  <c r="N126" i="48"/>
  <c r="N125" i="48"/>
  <c r="N124" i="48"/>
  <c r="N123" i="48"/>
  <c r="N122" i="48"/>
  <c r="N120" i="48"/>
  <c r="N113" i="48"/>
  <c r="N111" i="48"/>
  <c r="M159" i="48"/>
  <c r="AA159" i="48"/>
  <c r="M188" i="48"/>
  <c r="AA188" i="48"/>
  <c r="M187" i="48"/>
  <c r="AA187" i="48"/>
  <c r="M184" i="48"/>
  <c r="AA184" i="48"/>
  <c r="M183" i="48"/>
  <c r="AA183" i="48"/>
  <c r="M182" i="48"/>
  <c r="AA182" i="48"/>
  <c r="M180" i="48"/>
  <c r="AA180" i="48"/>
  <c r="M169" i="48"/>
  <c r="AA169" i="48"/>
  <c r="M168" i="48"/>
  <c r="AA168" i="48"/>
  <c r="M164" i="48"/>
  <c r="AA164" i="48"/>
  <c r="M162" i="48"/>
  <c r="AA162" i="48"/>
  <c r="M154" i="48"/>
  <c r="M151" i="48"/>
  <c r="M33" i="48"/>
  <c r="AA33" i="48"/>
  <c r="M13" i="48"/>
  <c r="AA13" i="48"/>
  <c r="M7" i="48"/>
  <c r="AA7" i="48"/>
  <c r="L146" i="48"/>
  <c r="L139" i="48"/>
  <c r="L136" i="48"/>
  <c r="L132" i="48"/>
  <c r="L128" i="48"/>
  <c r="L115" i="48"/>
  <c r="L109" i="48"/>
  <c r="L83" i="48"/>
  <c r="L80" i="48"/>
  <c r="L78" i="48"/>
  <c r="L76" i="48"/>
  <c r="L66" i="48"/>
  <c r="L64" i="48"/>
  <c r="L192" i="48"/>
  <c r="L130" i="48"/>
  <c r="L107" i="48"/>
  <c r="L102" i="48"/>
  <c r="L100" i="48"/>
  <c r="L94" i="48"/>
  <c r="L89" i="48"/>
  <c r="L74" i="48"/>
  <c r="L57" i="48"/>
  <c r="L55" i="48"/>
  <c r="L53" i="48"/>
  <c r="L47" i="48"/>
  <c r="L41" i="48"/>
  <c r="L39" i="48"/>
  <c r="L34" i="48"/>
  <c r="L32" i="48"/>
  <c r="L29" i="48"/>
  <c r="L21" i="48"/>
  <c r="L17" i="48"/>
  <c r="L14" i="48"/>
  <c r="L12" i="48"/>
  <c r="L8" i="48"/>
  <c r="L6" i="48"/>
  <c r="L4" i="48"/>
  <c r="L25" i="48"/>
  <c r="L149" i="48"/>
  <c r="L148" i="48"/>
  <c r="L135" i="48"/>
  <c r="L134" i="48"/>
  <c r="L133" i="48"/>
  <c r="L131" i="48"/>
  <c r="L129" i="48"/>
  <c r="L127" i="48"/>
  <c r="L114" i="48"/>
  <c r="L108" i="48"/>
  <c r="L106" i="48"/>
  <c r="L82" i="48"/>
  <c r="L79" i="48"/>
  <c r="L77" i="48"/>
  <c r="L75" i="48"/>
  <c r="L73" i="48"/>
  <c r="L65" i="48"/>
  <c r="L63" i="48"/>
  <c r="L161" i="48"/>
  <c r="L158" i="48"/>
  <c r="L101" i="48"/>
  <c r="L99" i="48"/>
  <c r="L93" i="48"/>
  <c r="L88" i="48"/>
  <c r="L87" i="48"/>
  <c r="L56" i="48"/>
  <c r="L54" i="48"/>
  <c r="L52" i="48"/>
  <c r="L46" i="48"/>
  <c r="L40" i="48"/>
  <c r="L38" i="48"/>
  <c r="N149" i="48"/>
  <c r="N148" i="48"/>
  <c r="N135" i="48"/>
  <c r="N134" i="48"/>
  <c r="N133" i="48"/>
  <c r="N131" i="48"/>
  <c r="N129" i="48"/>
  <c r="N127" i="48"/>
  <c r="N114" i="48"/>
  <c r="N108" i="48"/>
  <c r="N106" i="48"/>
  <c r="N82" i="48"/>
  <c r="N79" i="48"/>
  <c r="N77" i="48"/>
  <c r="N75" i="48"/>
  <c r="N73" i="48"/>
  <c r="N65" i="48"/>
  <c r="N63" i="48"/>
  <c r="N161" i="48"/>
  <c r="N158" i="48"/>
  <c r="N101" i="48"/>
  <c r="N99" i="48"/>
  <c r="N93" i="48"/>
  <c r="N88" i="48"/>
  <c r="N87" i="48"/>
  <c r="N56" i="48"/>
  <c r="N54" i="48"/>
  <c r="N52" i="48"/>
  <c r="N46" i="48"/>
  <c r="N40" i="48"/>
  <c r="N38" i="48"/>
  <c r="N37" i="48"/>
  <c r="N31" i="48"/>
  <c r="N20" i="48"/>
  <c r="N16" i="48"/>
  <c r="N11" i="48"/>
  <c r="N5" i="48"/>
  <c r="N3" i="48"/>
  <c r="N28" i="48"/>
  <c r="N24" i="48"/>
  <c r="L126" i="48"/>
  <c r="L125" i="48"/>
  <c r="L124" i="48"/>
  <c r="L123" i="48"/>
  <c r="M126" i="48"/>
  <c r="AA126" i="48"/>
  <c r="M125" i="48"/>
  <c r="AA125" i="48"/>
  <c r="M124" i="48"/>
  <c r="AA124" i="48"/>
  <c r="M123" i="48"/>
  <c r="AA123" i="48"/>
  <c r="M121" i="48"/>
  <c r="AA121" i="48"/>
  <c r="M119" i="48"/>
  <c r="AA119" i="48"/>
  <c r="M112" i="48"/>
  <c r="AA112" i="48"/>
  <c r="M110" i="48"/>
  <c r="AA110" i="48"/>
  <c r="N121" i="48"/>
  <c r="N119" i="48"/>
  <c r="N112" i="48"/>
  <c r="N110" i="48"/>
  <c r="L185" i="48"/>
  <c r="L181" i="48"/>
  <c r="L170" i="48"/>
  <c r="L167" i="48"/>
  <c r="L165" i="48"/>
  <c r="L163" i="48"/>
  <c r="L150" i="48"/>
  <c r="L160" i="48"/>
  <c r="L157" i="48"/>
  <c r="L156" i="48"/>
  <c r="L155" i="48"/>
  <c r="L152" i="48"/>
  <c r="F51" i="5"/>
  <c r="D8" i="7"/>
  <c r="H37" i="5"/>
  <c r="C9" i="7"/>
  <c r="H60" i="5"/>
  <c r="E9" i="7"/>
  <c r="T51" i="5"/>
  <c r="D15" i="7"/>
  <c r="X37" i="5"/>
  <c r="C17" i="7"/>
  <c r="D41" i="5"/>
  <c r="D51" i="5"/>
  <c r="D6" i="7"/>
  <c r="AD51" i="5"/>
  <c r="D16" i="7"/>
  <c r="AF37" i="5"/>
  <c r="C5" i="7"/>
  <c r="AH51" i="5"/>
  <c r="D4" i="7"/>
  <c r="M191" i="48"/>
  <c r="AA191" i="48"/>
  <c r="V51" i="5"/>
  <c r="D20" i="7"/>
  <c r="N51" i="5"/>
  <c r="D12" i="7"/>
  <c r="L37" i="5"/>
  <c r="C11" i="7"/>
  <c r="P37" i="5"/>
  <c r="C13" i="7"/>
  <c r="V37" i="5"/>
  <c r="C20" i="7"/>
  <c r="AJ37" i="5"/>
  <c r="C21" i="7"/>
  <c r="AJ60" i="5"/>
  <c r="E21" i="7"/>
  <c r="AJ51" i="5"/>
  <c r="D21" i="7"/>
  <c r="AF51" i="5"/>
  <c r="D5" i="7"/>
  <c r="AF60" i="5"/>
  <c r="E5" i="7"/>
  <c r="AH37" i="5"/>
  <c r="C4" i="7"/>
  <c r="L191" i="48"/>
  <c r="AD60" i="5"/>
  <c r="E16" i="7"/>
  <c r="R224" i="48"/>
  <c r="T224" i="48"/>
  <c r="P224" i="48"/>
  <c r="R74" i="48"/>
  <c r="R206" i="48"/>
  <c r="M206" i="48"/>
  <c r="AA206" i="48"/>
  <c r="R29" i="48"/>
  <c r="R107" i="48"/>
  <c r="R106" i="48"/>
  <c r="R73" i="48"/>
  <c r="R161" i="48"/>
  <c r="R195" i="48"/>
  <c r="R194" i="48"/>
  <c r="R28" i="48"/>
  <c r="R103" i="48"/>
  <c r="R196" i="48"/>
  <c r="R129" i="48"/>
  <c r="R130" i="48"/>
  <c r="P191" i="48"/>
  <c r="N190" i="48"/>
  <c r="N189" i="48"/>
  <c r="M179" i="48"/>
  <c r="M178" i="48"/>
  <c r="AA178" i="48"/>
  <c r="M177" i="48"/>
  <c r="AA177" i="48"/>
  <c r="M153" i="48"/>
  <c r="M186" i="48"/>
  <c r="AA186" i="48"/>
  <c r="M172" i="48"/>
  <c r="M171" i="48"/>
  <c r="AA171" i="48"/>
  <c r="M166" i="48"/>
  <c r="AA166" i="48"/>
  <c r="M145" i="48"/>
  <c r="AA145" i="48"/>
  <c r="M138" i="48"/>
  <c r="AA138" i="48"/>
  <c r="R124" i="48"/>
  <c r="T124" i="48"/>
  <c r="P124" i="48"/>
  <c r="R38" i="48"/>
  <c r="R46" i="48"/>
  <c r="R54" i="48"/>
  <c r="R87" i="48"/>
  <c r="R93" i="48"/>
  <c r="R101" i="48"/>
  <c r="R65" i="48"/>
  <c r="R75" i="48"/>
  <c r="R79" i="48"/>
  <c r="R114" i="48"/>
  <c r="R133" i="48"/>
  <c r="R135" i="48"/>
  <c r="R149" i="48"/>
  <c r="R4" i="48"/>
  <c r="R8" i="48"/>
  <c r="R14" i="48"/>
  <c r="R21" i="48"/>
  <c r="R32" i="48"/>
  <c r="R39" i="48"/>
  <c r="R47" i="48"/>
  <c r="R55" i="48"/>
  <c r="R94" i="48"/>
  <c r="R102" i="48"/>
  <c r="R64" i="48"/>
  <c r="R76" i="48"/>
  <c r="R80" i="48"/>
  <c r="R109" i="48"/>
  <c r="R128" i="48"/>
  <c r="R136" i="48"/>
  <c r="R146" i="48"/>
  <c r="AA151" i="48"/>
  <c r="R111" i="48"/>
  <c r="T111" i="48"/>
  <c r="P111" i="48"/>
  <c r="R120" i="48"/>
  <c r="T120" i="48"/>
  <c r="P120" i="48"/>
  <c r="R24" i="48"/>
  <c r="R3" i="48"/>
  <c r="R11" i="48"/>
  <c r="R20" i="48"/>
  <c r="R37" i="48"/>
  <c r="R27" i="48"/>
  <c r="R10" i="48"/>
  <c r="R18" i="48"/>
  <c r="R30" i="48"/>
  <c r="R36" i="48"/>
  <c r="R43" i="48"/>
  <c r="R45" i="48"/>
  <c r="R48" i="48"/>
  <c r="R50" i="48"/>
  <c r="R58" i="48"/>
  <c r="R60" i="48"/>
  <c r="R86" i="48"/>
  <c r="R91" i="48"/>
  <c r="R95" i="48"/>
  <c r="R97" i="48"/>
  <c r="R61" i="48"/>
  <c r="R68" i="48"/>
  <c r="R70" i="48"/>
  <c r="R71" i="48"/>
  <c r="R84" i="48"/>
  <c r="R104" i="48"/>
  <c r="R116" i="48"/>
  <c r="R118" i="48"/>
  <c r="R141" i="48"/>
  <c r="R143" i="48"/>
  <c r="R13" i="48"/>
  <c r="T13" i="48"/>
  <c r="P13" i="48"/>
  <c r="AA144" i="48"/>
  <c r="T144" i="48"/>
  <c r="U144" i="48"/>
  <c r="Y144" i="48"/>
  <c r="AA22" i="48"/>
  <c r="R191" i="48"/>
  <c r="T191" i="48"/>
  <c r="M175" i="48"/>
  <c r="M173" i="48"/>
  <c r="M176" i="48"/>
  <c r="M174" i="48"/>
  <c r="L186" i="48"/>
  <c r="L172" i="48"/>
  <c r="R172" i="48"/>
  <c r="L171" i="48"/>
  <c r="L166" i="48"/>
  <c r="L145" i="48"/>
  <c r="L138" i="48"/>
  <c r="L179" i="48"/>
  <c r="R179" i="48"/>
  <c r="L178" i="48"/>
  <c r="L177" i="48"/>
  <c r="L153" i="48"/>
  <c r="R153" i="48"/>
  <c r="L176" i="48"/>
  <c r="L174" i="48"/>
  <c r="L175" i="48"/>
  <c r="L173" i="48"/>
  <c r="M161" i="48"/>
  <c r="M158" i="48"/>
  <c r="AA158" i="48"/>
  <c r="M101" i="48"/>
  <c r="AA101" i="48"/>
  <c r="M99" i="48"/>
  <c r="AA99" i="48"/>
  <c r="M93" i="48"/>
  <c r="AA93" i="48"/>
  <c r="M88" i="48"/>
  <c r="AA88" i="48"/>
  <c r="M87" i="48"/>
  <c r="AA87" i="48"/>
  <c r="M149" i="48"/>
  <c r="AA149" i="48"/>
  <c r="M148" i="48"/>
  <c r="AA148" i="48"/>
  <c r="M135" i="48"/>
  <c r="AA135" i="48"/>
  <c r="M134" i="48"/>
  <c r="AA134" i="48"/>
  <c r="M133" i="48"/>
  <c r="AA133" i="48"/>
  <c r="M131" i="48"/>
  <c r="AA131" i="48"/>
  <c r="M129" i="48"/>
  <c r="M127" i="48"/>
  <c r="AA127" i="48"/>
  <c r="M114" i="48"/>
  <c r="AA114" i="48"/>
  <c r="M108" i="48"/>
  <c r="AA108" i="48"/>
  <c r="M106" i="48"/>
  <c r="M82" i="48"/>
  <c r="AA82" i="48"/>
  <c r="M79" i="48"/>
  <c r="AA79" i="48"/>
  <c r="M77" i="48"/>
  <c r="AA77" i="48"/>
  <c r="M75" i="48"/>
  <c r="AA75" i="48"/>
  <c r="M73" i="48"/>
  <c r="P73" i="48"/>
  <c r="M65" i="48"/>
  <c r="AA65" i="48"/>
  <c r="M63" i="48"/>
  <c r="AA63" i="48"/>
  <c r="M56" i="48"/>
  <c r="AA56" i="48"/>
  <c r="M54" i="48"/>
  <c r="AA54" i="48"/>
  <c r="M52" i="48"/>
  <c r="AA52" i="48"/>
  <c r="M46" i="48"/>
  <c r="AA46" i="48"/>
  <c r="M40" i="48"/>
  <c r="AA40" i="48"/>
  <c r="M38" i="48"/>
  <c r="AA38" i="48"/>
  <c r="M28" i="48"/>
  <c r="P28" i="48"/>
  <c r="M24" i="48"/>
  <c r="AA24" i="48"/>
  <c r="M37" i="48"/>
  <c r="AA37" i="48"/>
  <c r="M31" i="48"/>
  <c r="AA31" i="48"/>
  <c r="M20" i="48"/>
  <c r="AA20" i="48"/>
  <c r="M16" i="48"/>
  <c r="AA16" i="48"/>
  <c r="M11" i="48"/>
  <c r="AA11" i="48"/>
  <c r="M5" i="48"/>
  <c r="AA5" i="48"/>
  <c r="M3" i="48"/>
  <c r="AA3" i="48"/>
  <c r="L199" i="48"/>
  <c r="L198" i="48"/>
  <c r="L22" i="48"/>
  <c r="N185" i="48"/>
  <c r="R185" i="48"/>
  <c r="N181" i="48"/>
  <c r="R181" i="48"/>
  <c r="N170" i="48"/>
  <c r="R170" i="48"/>
  <c r="N167" i="48"/>
  <c r="R167" i="48"/>
  <c r="N165" i="48"/>
  <c r="R165" i="48"/>
  <c r="N163" i="48"/>
  <c r="R163" i="48"/>
  <c r="N150" i="48"/>
  <c r="R150" i="48"/>
  <c r="N160" i="48"/>
  <c r="R160" i="48"/>
  <c r="N157" i="48"/>
  <c r="R157" i="48"/>
  <c r="N156" i="48"/>
  <c r="R156" i="48"/>
  <c r="N155" i="48"/>
  <c r="R155" i="48"/>
  <c r="N152" i="48"/>
  <c r="R152" i="48"/>
  <c r="N176" i="48"/>
  <c r="N174" i="48"/>
  <c r="N175" i="48"/>
  <c r="N173" i="48"/>
  <c r="M190" i="48"/>
  <c r="AA190" i="48"/>
  <c r="M189" i="48"/>
  <c r="AA189" i="48"/>
  <c r="L190" i="48"/>
  <c r="L189" i="48"/>
  <c r="L188" i="48"/>
  <c r="L187" i="48"/>
  <c r="L184" i="48"/>
  <c r="L183" i="48"/>
  <c r="L182" i="48"/>
  <c r="L180" i="48"/>
  <c r="L169" i="48"/>
  <c r="L168" i="48"/>
  <c r="L164" i="48"/>
  <c r="L162" i="48"/>
  <c r="L154" i="48"/>
  <c r="L151" i="48"/>
  <c r="L159" i="48"/>
  <c r="M196" i="48"/>
  <c r="P196" i="48"/>
  <c r="M194" i="48"/>
  <c r="M193" i="48"/>
  <c r="AA193" i="48"/>
  <c r="M103" i="48"/>
  <c r="M98" i="48"/>
  <c r="AA98" i="48"/>
  <c r="M97" i="48"/>
  <c r="AA97" i="48"/>
  <c r="M96" i="48"/>
  <c r="AA96" i="48"/>
  <c r="M95" i="48"/>
  <c r="AA95" i="48"/>
  <c r="M92" i="48"/>
  <c r="AA92" i="48"/>
  <c r="M91" i="48"/>
  <c r="AA91" i="48"/>
  <c r="M90" i="48"/>
  <c r="AA90" i="48"/>
  <c r="M86" i="48"/>
  <c r="AA86" i="48"/>
  <c r="M197" i="48"/>
  <c r="AA197" i="48"/>
  <c r="M195" i="48"/>
  <c r="P195" i="48"/>
  <c r="M147" i="48"/>
  <c r="AA147" i="48"/>
  <c r="M143" i="48"/>
  <c r="AA143" i="48"/>
  <c r="M142" i="48"/>
  <c r="AA142" i="48"/>
  <c r="M141" i="48"/>
  <c r="AA141" i="48"/>
  <c r="M140" i="48"/>
  <c r="AA140" i="48"/>
  <c r="M137" i="48"/>
  <c r="AA137" i="48"/>
  <c r="M118" i="48"/>
  <c r="AA118" i="48"/>
  <c r="M117" i="48"/>
  <c r="AA117" i="48"/>
  <c r="M116" i="48"/>
  <c r="AA116" i="48"/>
  <c r="M105" i="48"/>
  <c r="AA105" i="48"/>
  <c r="M104" i="48"/>
  <c r="AA104" i="48"/>
  <c r="M85" i="48"/>
  <c r="P85" i="48"/>
  <c r="M84" i="48"/>
  <c r="AA84" i="48"/>
  <c r="M81" i="48"/>
  <c r="AA81" i="48"/>
  <c r="M71" i="48"/>
  <c r="AA71" i="48"/>
  <c r="M70" i="48"/>
  <c r="AA70" i="48"/>
  <c r="M69" i="48"/>
  <c r="AA69" i="48"/>
  <c r="M27" i="48"/>
  <c r="AA27" i="48"/>
  <c r="M26" i="48"/>
  <c r="AA26" i="48"/>
  <c r="M68" i="48"/>
  <c r="AA68" i="48"/>
  <c r="M67" i="48"/>
  <c r="AA67" i="48"/>
  <c r="M61" i="48"/>
  <c r="AA61" i="48"/>
  <c r="M60" i="48"/>
  <c r="AA60" i="48"/>
  <c r="M59" i="48"/>
  <c r="AA59" i="48"/>
  <c r="M58" i="48"/>
  <c r="AA58" i="48"/>
  <c r="M51" i="48"/>
  <c r="AA51" i="48"/>
  <c r="M50" i="48"/>
  <c r="AA50" i="48"/>
  <c r="M49" i="48"/>
  <c r="AA49" i="48"/>
  <c r="M48" i="48"/>
  <c r="AA48" i="48"/>
  <c r="M45" i="48"/>
  <c r="AA45" i="48"/>
  <c r="M44" i="48"/>
  <c r="AA44" i="48"/>
  <c r="M43" i="48"/>
  <c r="AA43" i="48"/>
  <c r="M42" i="48"/>
  <c r="AA42" i="48"/>
  <c r="M36" i="48"/>
  <c r="AA36" i="48"/>
  <c r="M35" i="48"/>
  <c r="AA35" i="48"/>
  <c r="M30" i="48"/>
  <c r="AA30" i="48"/>
  <c r="M19" i="48"/>
  <c r="AA19" i="48"/>
  <c r="M18" i="48"/>
  <c r="AA18" i="48"/>
  <c r="M15" i="48"/>
  <c r="AA15" i="48"/>
  <c r="M10" i="48"/>
  <c r="AA10" i="48"/>
  <c r="M9" i="48"/>
  <c r="AA9" i="48"/>
  <c r="M160" i="48"/>
  <c r="AA160" i="48"/>
  <c r="M157" i="48"/>
  <c r="AA157" i="48"/>
  <c r="M156" i="48"/>
  <c r="AA156" i="48"/>
  <c r="M155" i="48"/>
  <c r="AA155" i="48"/>
  <c r="M152" i="48"/>
  <c r="AA152" i="48"/>
  <c r="M185" i="48"/>
  <c r="AA185" i="48"/>
  <c r="M181" i="48"/>
  <c r="AA181" i="48"/>
  <c r="M170" i="48"/>
  <c r="AA170" i="48"/>
  <c r="M167" i="48"/>
  <c r="AA167" i="48"/>
  <c r="M165" i="48"/>
  <c r="AA165" i="48"/>
  <c r="M163" i="48"/>
  <c r="AA163" i="48"/>
  <c r="M150" i="48"/>
  <c r="AA150" i="48"/>
  <c r="L121" i="48"/>
  <c r="L119" i="48"/>
  <c r="L112" i="48"/>
  <c r="L110" i="48"/>
  <c r="N199" i="48"/>
  <c r="N198" i="48"/>
  <c r="N22" i="48"/>
  <c r="M192" i="48"/>
  <c r="AA192" i="48"/>
  <c r="M130" i="48"/>
  <c r="M107" i="48"/>
  <c r="P107" i="48"/>
  <c r="M102" i="48"/>
  <c r="AA102" i="48"/>
  <c r="M100" i="48"/>
  <c r="AA100" i="48"/>
  <c r="M94" i="48"/>
  <c r="AA94" i="48"/>
  <c r="M89" i="48"/>
  <c r="AA89" i="48"/>
  <c r="M74" i="48"/>
  <c r="M146" i="48"/>
  <c r="AA146" i="48"/>
  <c r="M139" i="48"/>
  <c r="AA139" i="48"/>
  <c r="M136" i="48"/>
  <c r="AA136" i="48"/>
  <c r="M132" i="48"/>
  <c r="AA132" i="48"/>
  <c r="M128" i="48"/>
  <c r="AA128" i="48"/>
  <c r="M115" i="48"/>
  <c r="AA115" i="48"/>
  <c r="M109" i="48"/>
  <c r="AA109" i="48"/>
  <c r="M83" i="48"/>
  <c r="AA83" i="48"/>
  <c r="M80" i="48"/>
  <c r="AA80" i="48"/>
  <c r="M78" i="48"/>
  <c r="AA78" i="48"/>
  <c r="M76" i="48"/>
  <c r="AA76" i="48"/>
  <c r="M25" i="48"/>
  <c r="AA25" i="48"/>
  <c r="M66" i="48"/>
  <c r="AA66" i="48"/>
  <c r="M64" i="48"/>
  <c r="AA64" i="48"/>
  <c r="M57" i="48"/>
  <c r="AA57" i="48"/>
  <c r="M55" i="48"/>
  <c r="AA55" i="48"/>
  <c r="M53" i="48"/>
  <c r="AA53" i="48"/>
  <c r="M47" i="48"/>
  <c r="AA47" i="48"/>
  <c r="M41" i="48"/>
  <c r="AA41" i="48"/>
  <c r="M39" i="48"/>
  <c r="AA39" i="48"/>
  <c r="M34" i="48"/>
  <c r="AA34" i="48"/>
  <c r="M32" i="48"/>
  <c r="AA32" i="48"/>
  <c r="M29" i="48"/>
  <c r="P29" i="48"/>
  <c r="M21" i="48"/>
  <c r="AA21" i="48"/>
  <c r="M17" i="48"/>
  <c r="AA17" i="48"/>
  <c r="M14" i="48"/>
  <c r="AA14" i="48"/>
  <c r="M12" i="48"/>
  <c r="AA12" i="48"/>
  <c r="M8" i="48"/>
  <c r="AA8" i="48"/>
  <c r="M6" i="48"/>
  <c r="AA6" i="48"/>
  <c r="M4" i="48"/>
  <c r="AA4" i="48"/>
  <c r="R123" i="48"/>
  <c r="T123" i="48"/>
  <c r="P123" i="48"/>
  <c r="R125" i="48"/>
  <c r="T125" i="48"/>
  <c r="P125" i="48"/>
  <c r="R126" i="48"/>
  <c r="T126" i="48"/>
  <c r="P126" i="48"/>
  <c r="R40" i="48"/>
  <c r="R52" i="48"/>
  <c r="R56" i="48"/>
  <c r="R88" i="48"/>
  <c r="R99" i="48"/>
  <c r="R158" i="48"/>
  <c r="R63" i="48"/>
  <c r="R77" i="48"/>
  <c r="R82" i="48"/>
  <c r="R108" i="48"/>
  <c r="R127" i="48"/>
  <c r="R131" i="48"/>
  <c r="R134" i="48"/>
  <c r="R148" i="48"/>
  <c r="R25" i="48"/>
  <c r="R6" i="48"/>
  <c r="R12" i="48"/>
  <c r="R17" i="48"/>
  <c r="R34" i="48"/>
  <c r="R41" i="48"/>
  <c r="R53" i="48"/>
  <c r="R57" i="48"/>
  <c r="R89" i="48"/>
  <c r="R100" i="48"/>
  <c r="R192" i="48"/>
  <c r="R66" i="48"/>
  <c r="R78" i="48"/>
  <c r="R83" i="48"/>
  <c r="R115" i="48"/>
  <c r="R132" i="48"/>
  <c r="R139" i="48"/>
  <c r="AA154" i="48"/>
  <c r="R113" i="48"/>
  <c r="T113" i="48"/>
  <c r="P113" i="48"/>
  <c r="R122" i="48"/>
  <c r="T122" i="48"/>
  <c r="P122" i="48"/>
  <c r="R5" i="48"/>
  <c r="R16" i="48"/>
  <c r="R31" i="48"/>
  <c r="R26" i="48"/>
  <c r="R9" i="48"/>
  <c r="R15" i="48"/>
  <c r="R19" i="48"/>
  <c r="R35" i="48"/>
  <c r="R42" i="48"/>
  <c r="R44" i="48"/>
  <c r="R49" i="48"/>
  <c r="R51" i="48"/>
  <c r="R59" i="48"/>
  <c r="R90" i="48"/>
  <c r="R92" i="48"/>
  <c r="R96" i="48"/>
  <c r="R98" i="48"/>
  <c r="R193" i="48"/>
  <c r="R67" i="48"/>
  <c r="R69" i="48"/>
  <c r="R81" i="48"/>
  <c r="R105" i="48"/>
  <c r="R117" i="48"/>
  <c r="R137" i="48"/>
  <c r="R140" i="48"/>
  <c r="R142" i="48"/>
  <c r="R147" i="48"/>
  <c r="R197" i="48"/>
  <c r="R7" i="48"/>
  <c r="T7" i="48"/>
  <c r="P7" i="48"/>
  <c r="R33" i="48"/>
  <c r="T33" i="48"/>
  <c r="P33" i="48"/>
  <c r="AA62" i="48"/>
  <c r="T62" i="48"/>
  <c r="U62" i="48"/>
  <c r="Y62" i="48"/>
  <c r="AA23" i="48"/>
  <c r="T23" i="48"/>
  <c r="U23" i="48"/>
  <c r="Y23" i="48"/>
  <c r="AA72" i="48"/>
  <c r="T72" i="48"/>
  <c r="U72" i="48"/>
  <c r="Y72" i="48"/>
  <c r="U224" i="48"/>
  <c r="Y224" i="48"/>
  <c r="P206" i="48"/>
  <c r="T206" i="48"/>
  <c r="R173" i="48"/>
  <c r="T173" i="48"/>
  <c r="R176" i="48"/>
  <c r="T176" i="48"/>
  <c r="R174" i="48"/>
  <c r="T174" i="48"/>
  <c r="R175" i="48"/>
  <c r="T175" i="48"/>
  <c r="R22" i="48"/>
  <c r="T22" i="48"/>
  <c r="P154" i="48"/>
  <c r="R154" i="48"/>
  <c r="T154" i="48"/>
  <c r="P179" i="48"/>
  <c r="P153" i="48"/>
  <c r="P151" i="48"/>
  <c r="R151" i="48"/>
  <c r="T151" i="48"/>
  <c r="P172" i="48"/>
  <c r="P197" i="48"/>
  <c r="T147" i="48"/>
  <c r="P140" i="48"/>
  <c r="P137" i="48"/>
  <c r="P117" i="48"/>
  <c r="P105" i="48"/>
  <c r="P81" i="48"/>
  <c r="P69" i="48"/>
  <c r="T192" i="48"/>
  <c r="P26" i="48"/>
  <c r="P158" i="48"/>
  <c r="P99" i="48"/>
  <c r="P88" i="48"/>
  <c r="T56" i="48"/>
  <c r="P40" i="48"/>
  <c r="P98" i="48"/>
  <c r="P96" i="48"/>
  <c r="P92" i="48"/>
  <c r="P90" i="48"/>
  <c r="P59" i="48"/>
  <c r="P51" i="48"/>
  <c r="T49" i="48"/>
  <c r="T35" i="48"/>
  <c r="T148" i="48"/>
  <c r="T108" i="48"/>
  <c r="P82" i="48"/>
  <c r="T63" i="48"/>
  <c r="U191" i="48"/>
  <c r="Y191" i="48"/>
  <c r="T142" i="48"/>
  <c r="P139" i="48"/>
  <c r="P132" i="48"/>
  <c r="P115" i="48"/>
  <c r="P83" i="48"/>
  <c r="T78" i="48"/>
  <c r="P25" i="48"/>
  <c r="T52" i="48"/>
  <c r="P170" i="48"/>
  <c r="P150" i="48"/>
  <c r="P155" i="48"/>
  <c r="P67" i="48"/>
  <c r="T193" i="48"/>
  <c r="P44" i="48"/>
  <c r="T42" i="48"/>
  <c r="P19" i="48"/>
  <c r="P15" i="48"/>
  <c r="P9" i="48"/>
  <c r="P31" i="48"/>
  <c r="P16" i="48"/>
  <c r="P5" i="48"/>
  <c r="P66" i="48"/>
  <c r="T100" i="48"/>
  <c r="T57" i="48"/>
  <c r="P53" i="48"/>
  <c r="P41" i="48"/>
  <c r="T134" i="48"/>
  <c r="P131" i="48"/>
  <c r="P127" i="48"/>
  <c r="T77" i="48"/>
  <c r="T17" i="48"/>
  <c r="T6" i="48"/>
  <c r="T67" i="48"/>
  <c r="P193" i="48"/>
  <c r="T98" i="48"/>
  <c r="T96" i="48"/>
  <c r="T92" i="48"/>
  <c r="T90" i="48"/>
  <c r="T59" i="48"/>
  <c r="T51" i="48"/>
  <c r="P49" i="48"/>
  <c r="T44" i="48"/>
  <c r="P42" i="48"/>
  <c r="P35" i="48"/>
  <c r="T19" i="48"/>
  <c r="T15" i="48"/>
  <c r="T9" i="48"/>
  <c r="T31" i="48"/>
  <c r="T16" i="48"/>
  <c r="T5" i="48"/>
  <c r="P192" i="48"/>
  <c r="P100" i="48"/>
  <c r="T89" i="48"/>
  <c r="T34" i="48"/>
  <c r="T12" i="48"/>
  <c r="P148" i="48"/>
  <c r="P134" i="48"/>
  <c r="T131" i="48"/>
  <c r="T127" i="48"/>
  <c r="P108" i="48"/>
  <c r="T82" i="48"/>
  <c r="P77" i="48"/>
  <c r="P63" i="48"/>
  <c r="T66" i="48"/>
  <c r="P89" i="48"/>
  <c r="P57" i="48"/>
  <c r="T53" i="48"/>
  <c r="T41" i="48"/>
  <c r="P34" i="48"/>
  <c r="P17" i="48"/>
  <c r="P12" i="48"/>
  <c r="P6" i="48"/>
  <c r="T185" i="48"/>
  <c r="T165" i="48"/>
  <c r="T157" i="48"/>
  <c r="T155" i="48"/>
  <c r="P157" i="48"/>
  <c r="T150" i="48"/>
  <c r="P165" i="48"/>
  <c r="T170" i="48"/>
  <c r="P185" i="48"/>
  <c r="T197" i="48"/>
  <c r="P147" i="48"/>
  <c r="P142" i="48"/>
  <c r="T140" i="48"/>
  <c r="T137" i="48"/>
  <c r="T117" i="48"/>
  <c r="T105" i="48"/>
  <c r="T81" i="48"/>
  <c r="T69" i="48"/>
  <c r="T26" i="48"/>
  <c r="T139" i="48"/>
  <c r="T132" i="48"/>
  <c r="T115" i="48"/>
  <c r="T83" i="48"/>
  <c r="P78" i="48"/>
  <c r="T25" i="48"/>
  <c r="T158" i="48"/>
  <c r="T99" i="48"/>
  <c r="T88" i="48"/>
  <c r="P56" i="48"/>
  <c r="P52" i="48"/>
  <c r="T40" i="48"/>
  <c r="T152" i="48"/>
  <c r="T156" i="48"/>
  <c r="T160" i="48"/>
  <c r="T163" i="48"/>
  <c r="T167" i="48"/>
  <c r="T181" i="48"/>
  <c r="U33" i="48"/>
  <c r="Y33" i="48"/>
  <c r="U7" i="48"/>
  <c r="Y7" i="48"/>
  <c r="U122" i="48"/>
  <c r="Y122" i="48"/>
  <c r="U113" i="48"/>
  <c r="Y113" i="48"/>
  <c r="U126" i="48"/>
  <c r="Y126" i="48"/>
  <c r="U125" i="48"/>
  <c r="Y125" i="48"/>
  <c r="U123" i="48"/>
  <c r="Y123" i="48"/>
  <c r="P173" i="48"/>
  <c r="P174" i="48"/>
  <c r="AA74" i="48"/>
  <c r="T74" i="48"/>
  <c r="AA130" i="48"/>
  <c r="T130" i="48"/>
  <c r="R112" i="48"/>
  <c r="T112" i="48"/>
  <c r="P112" i="48"/>
  <c r="R121" i="48"/>
  <c r="T121" i="48"/>
  <c r="P121" i="48"/>
  <c r="AA85" i="48"/>
  <c r="T85" i="48"/>
  <c r="U85" i="48"/>
  <c r="Y85" i="48"/>
  <c r="T103" i="48"/>
  <c r="AA103" i="48"/>
  <c r="AA194" i="48"/>
  <c r="T194" i="48"/>
  <c r="P159" i="48"/>
  <c r="R159" i="48"/>
  <c r="T159" i="48"/>
  <c r="R164" i="48"/>
  <c r="T164" i="48"/>
  <c r="P164" i="48"/>
  <c r="P169" i="48"/>
  <c r="R169" i="48"/>
  <c r="T169" i="48"/>
  <c r="R182" i="48"/>
  <c r="T182" i="48"/>
  <c r="P182" i="48"/>
  <c r="R184" i="48"/>
  <c r="T184" i="48"/>
  <c r="P184" i="48"/>
  <c r="R188" i="48"/>
  <c r="T188" i="48"/>
  <c r="P188" i="48"/>
  <c r="R190" i="48"/>
  <c r="T190" i="48"/>
  <c r="P190" i="48"/>
  <c r="R198" i="48"/>
  <c r="T198" i="48"/>
  <c r="P198" i="48"/>
  <c r="T28" i="48"/>
  <c r="AA28" i="48"/>
  <c r="T106" i="48"/>
  <c r="AA106" i="48"/>
  <c r="AA129" i="48"/>
  <c r="T129" i="48"/>
  <c r="R178" i="48"/>
  <c r="T178" i="48"/>
  <c r="P178" i="48"/>
  <c r="P138" i="48"/>
  <c r="R138" i="48"/>
  <c r="T138" i="48"/>
  <c r="R166" i="48"/>
  <c r="T166" i="48"/>
  <c r="P166" i="48"/>
  <c r="AA174" i="48"/>
  <c r="AA173" i="48"/>
  <c r="AA179" i="48"/>
  <c r="T179" i="48"/>
  <c r="P103" i="48"/>
  <c r="P74" i="48"/>
  <c r="P106" i="48"/>
  <c r="T143" i="48"/>
  <c r="T141" i="48"/>
  <c r="T118" i="48"/>
  <c r="T116" i="48"/>
  <c r="T104" i="48"/>
  <c r="P84" i="48"/>
  <c r="T71" i="48"/>
  <c r="P70" i="48"/>
  <c r="P68" i="48"/>
  <c r="P61" i="48"/>
  <c r="T97" i="48"/>
  <c r="T95" i="48"/>
  <c r="T91" i="48"/>
  <c r="P86" i="48"/>
  <c r="P60" i="48"/>
  <c r="P58" i="48"/>
  <c r="P50" i="48"/>
  <c r="P48" i="48"/>
  <c r="P45" i="48"/>
  <c r="T43" i="48"/>
  <c r="T36" i="48"/>
  <c r="T30" i="48"/>
  <c r="T18" i="48"/>
  <c r="T10" i="48"/>
  <c r="T27" i="48"/>
  <c r="T37" i="48"/>
  <c r="T20" i="48"/>
  <c r="T11" i="48"/>
  <c r="T3" i="48"/>
  <c r="T24" i="48"/>
  <c r="T146" i="48"/>
  <c r="T136" i="48"/>
  <c r="T128" i="48"/>
  <c r="T109" i="48"/>
  <c r="P80" i="48"/>
  <c r="P76" i="48"/>
  <c r="T64" i="48"/>
  <c r="T102" i="48"/>
  <c r="T94" i="48"/>
  <c r="T55" i="48"/>
  <c r="T47" i="48"/>
  <c r="T39" i="48"/>
  <c r="T32" i="48"/>
  <c r="T21" i="48"/>
  <c r="T14" i="48"/>
  <c r="T8" i="48"/>
  <c r="T4" i="48"/>
  <c r="P149" i="48"/>
  <c r="P135" i="48"/>
  <c r="P133" i="48"/>
  <c r="T114" i="48"/>
  <c r="T79" i="48"/>
  <c r="T75" i="48"/>
  <c r="T65" i="48"/>
  <c r="T101" i="48"/>
  <c r="T93" i="48"/>
  <c r="T87" i="48"/>
  <c r="T54" i="48"/>
  <c r="P46" i="48"/>
  <c r="T38" i="48"/>
  <c r="P181" i="48"/>
  <c r="P167" i="48"/>
  <c r="T29" i="48"/>
  <c r="U29" i="48"/>
  <c r="Y29" i="48"/>
  <c r="AA29" i="48"/>
  <c r="T107" i="48"/>
  <c r="U107" i="48"/>
  <c r="Y107" i="48"/>
  <c r="AA107" i="48"/>
  <c r="R110" i="48"/>
  <c r="T110" i="48"/>
  <c r="P110" i="48"/>
  <c r="R119" i="48"/>
  <c r="T119" i="48"/>
  <c r="P119" i="48"/>
  <c r="AA195" i="48"/>
  <c r="T195" i="48"/>
  <c r="U195" i="48"/>
  <c r="Y195" i="48"/>
  <c r="AA196" i="48"/>
  <c r="T196" i="48"/>
  <c r="U196" i="48"/>
  <c r="Y196" i="48"/>
  <c r="R162" i="48"/>
  <c r="T162" i="48"/>
  <c r="P162" i="48"/>
  <c r="R168" i="48"/>
  <c r="T168" i="48"/>
  <c r="P168" i="48"/>
  <c r="R180" i="48"/>
  <c r="T180" i="48"/>
  <c r="P180" i="48"/>
  <c r="P183" i="48"/>
  <c r="R183" i="48"/>
  <c r="T183" i="48"/>
  <c r="P187" i="48"/>
  <c r="R187" i="48"/>
  <c r="T187" i="48"/>
  <c r="P189" i="48"/>
  <c r="R189" i="48"/>
  <c r="T189" i="48"/>
  <c r="R199" i="48"/>
  <c r="T199" i="48"/>
  <c r="P199" i="48"/>
  <c r="AA73" i="48"/>
  <c r="T73" i="48"/>
  <c r="U73" i="48"/>
  <c r="Y73" i="48"/>
  <c r="AA161" i="48"/>
  <c r="T161" i="48"/>
  <c r="P177" i="48"/>
  <c r="R177" i="48"/>
  <c r="T177" i="48"/>
  <c r="R145" i="48"/>
  <c r="T145" i="48"/>
  <c r="P145" i="48"/>
  <c r="R171" i="48"/>
  <c r="T171" i="48"/>
  <c r="P171" i="48"/>
  <c r="R186" i="48"/>
  <c r="T186" i="48"/>
  <c r="P186" i="48"/>
  <c r="AA176" i="48"/>
  <c r="AA175" i="48"/>
  <c r="AA172" i="48"/>
  <c r="T172" i="48"/>
  <c r="AA153" i="48"/>
  <c r="T153" i="48"/>
  <c r="P22" i="48"/>
  <c r="P175" i="48"/>
  <c r="P176" i="48"/>
  <c r="P194" i="48"/>
  <c r="P130" i="48"/>
  <c r="P129" i="48"/>
  <c r="P161" i="48"/>
  <c r="U13" i="48"/>
  <c r="Y13" i="48"/>
  <c r="P143" i="48"/>
  <c r="P141" i="48"/>
  <c r="P118" i="48"/>
  <c r="P116" i="48"/>
  <c r="P104" i="48"/>
  <c r="T84" i="48"/>
  <c r="P71" i="48"/>
  <c r="T70" i="48"/>
  <c r="T68" i="48"/>
  <c r="T61" i="48"/>
  <c r="P97" i="48"/>
  <c r="P95" i="48"/>
  <c r="P91" i="48"/>
  <c r="T86" i="48"/>
  <c r="T60" i="48"/>
  <c r="T58" i="48"/>
  <c r="T50" i="48"/>
  <c r="T48" i="48"/>
  <c r="T45" i="48"/>
  <c r="P43" i="48"/>
  <c r="P36" i="48"/>
  <c r="P30" i="48"/>
  <c r="P18" i="48"/>
  <c r="P10" i="48"/>
  <c r="P27" i="48"/>
  <c r="P37" i="48"/>
  <c r="P20" i="48"/>
  <c r="P11" i="48"/>
  <c r="P3" i="48"/>
  <c r="P24" i="48"/>
  <c r="U120" i="48"/>
  <c r="Y120" i="48"/>
  <c r="U111" i="48"/>
  <c r="Y111" i="48"/>
  <c r="P146" i="48"/>
  <c r="P136" i="48"/>
  <c r="P128" i="48"/>
  <c r="P109" i="48"/>
  <c r="T80" i="48"/>
  <c r="T76" i="48"/>
  <c r="P64" i="48"/>
  <c r="P102" i="48"/>
  <c r="P94" i="48"/>
  <c r="P55" i="48"/>
  <c r="P47" i="48"/>
  <c r="P39" i="48"/>
  <c r="P32" i="48"/>
  <c r="P21" i="48"/>
  <c r="P14" i="48"/>
  <c r="P8" i="48"/>
  <c r="P4" i="48"/>
  <c r="T149" i="48"/>
  <c r="T135" i="48"/>
  <c r="T133" i="48"/>
  <c r="P114" i="48"/>
  <c r="P79" i="48"/>
  <c r="P75" i="48"/>
  <c r="P65" i="48"/>
  <c r="P101" i="48"/>
  <c r="P93" i="48"/>
  <c r="P87" i="48"/>
  <c r="P54" i="48"/>
  <c r="T46" i="48"/>
  <c r="P38" i="48"/>
  <c r="U124" i="48"/>
  <c r="Y124" i="48"/>
  <c r="P163" i="48"/>
  <c r="P160" i="48"/>
  <c r="P156" i="48"/>
  <c r="P152" i="48"/>
  <c r="U35" i="48"/>
  <c r="Y35" i="48"/>
  <c r="U53" i="48"/>
  <c r="Y53" i="48"/>
  <c r="U142" i="48"/>
  <c r="Y142" i="48"/>
  <c r="U155" i="48"/>
  <c r="Y155" i="48"/>
  <c r="U185" i="48"/>
  <c r="Y185" i="48"/>
  <c r="U89" i="48"/>
  <c r="Y89" i="48"/>
  <c r="E14" i="12"/>
  <c r="C14" i="12"/>
  <c r="E6" i="12"/>
  <c r="C6" i="12"/>
  <c r="E17" i="12"/>
  <c r="C17" i="12"/>
  <c r="E12" i="12"/>
  <c r="C12" i="12"/>
  <c r="E19" i="12"/>
  <c r="C19" i="12"/>
  <c r="E13" i="12"/>
  <c r="C13" i="12"/>
  <c r="E21" i="12"/>
  <c r="C21" i="12"/>
  <c r="E16" i="12"/>
  <c r="C16" i="12"/>
  <c r="E18" i="12"/>
  <c r="C18" i="12"/>
  <c r="E23" i="12"/>
  <c r="C23" i="12"/>
  <c r="E15" i="12"/>
  <c r="C15" i="12"/>
  <c r="E7" i="12"/>
  <c r="C7" i="12"/>
  <c r="E20" i="12"/>
  <c r="C20" i="12"/>
  <c r="E22" i="12"/>
  <c r="C22" i="12"/>
  <c r="E11" i="12"/>
  <c r="C11" i="12"/>
  <c r="E10" i="12"/>
  <c r="C10" i="12"/>
  <c r="E8" i="12"/>
  <c r="C8" i="12"/>
  <c r="E9" i="12"/>
  <c r="C9" i="12"/>
  <c r="E24" i="12"/>
  <c r="C24" i="12"/>
  <c r="E5" i="12"/>
  <c r="C5" i="12"/>
  <c r="U206" i="48"/>
  <c r="Y206" i="48"/>
  <c r="U179" i="48"/>
  <c r="Y179" i="48"/>
  <c r="U22" i="48"/>
  <c r="Y22" i="48"/>
  <c r="U174" i="48"/>
  <c r="Y174" i="48"/>
  <c r="U153" i="48"/>
  <c r="Y153" i="48"/>
  <c r="U154" i="48"/>
  <c r="Y154" i="48"/>
  <c r="U28" i="48"/>
  <c r="Y28" i="48"/>
  <c r="U57" i="48"/>
  <c r="Y57" i="48"/>
  <c r="U40" i="48"/>
  <c r="Y40" i="48"/>
  <c r="U151" i="48"/>
  <c r="Y151" i="48"/>
  <c r="U172" i="48"/>
  <c r="Y172" i="48"/>
  <c r="U69" i="48"/>
  <c r="Y69" i="48"/>
  <c r="U105" i="48"/>
  <c r="Y105" i="48"/>
  <c r="U134" i="48"/>
  <c r="Y134" i="48"/>
  <c r="U127" i="48"/>
  <c r="Y127" i="48"/>
  <c r="U140" i="48"/>
  <c r="Y140" i="48"/>
  <c r="U192" i="48"/>
  <c r="Y192" i="48"/>
  <c r="U42" i="48"/>
  <c r="Y42" i="48"/>
  <c r="U103" i="48"/>
  <c r="Y103" i="48"/>
  <c r="U81" i="48"/>
  <c r="Y81" i="48"/>
  <c r="U137" i="48"/>
  <c r="Y137" i="48"/>
  <c r="U12" i="48"/>
  <c r="Y12" i="48"/>
  <c r="U170" i="48"/>
  <c r="Y170" i="48"/>
  <c r="U108" i="48"/>
  <c r="Y108" i="48"/>
  <c r="U106" i="48"/>
  <c r="Y106" i="48"/>
  <c r="U6" i="48"/>
  <c r="Y6" i="48"/>
  <c r="U77" i="48"/>
  <c r="Y77" i="48"/>
  <c r="U44" i="48"/>
  <c r="Y44" i="48"/>
  <c r="U117" i="48"/>
  <c r="Y117" i="48"/>
  <c r="U74" i="48"/>
  <c r="Y74" i="48"/>
  <c r="U193" i="48"/>
  <c r="Y193" i="48"/>
  <c r="U157" i="48"/>
  <c r="Y157" i="48"/>
  <c r="U67" i="48"/>
  <c r="Y67" i="48"/>
  <c r="U66" i="48"/>
  <c r="Y66" i="48"/>
  <c r="U131" i="48"/>
  <c r="Y131" i="48"/>
  <c r="U147" i="48"/>
  <c r="Y147" i="48"/>
  <c r="U197" i="48"/>
  <c r="Y197" i="48"/>
  <c r="U90" i="48"/>
  <c r="Y90" i="48"/>
  <c r="U52" i="48"/>
  <c r="Y52" i="48"/>
  <c r="U88" i="48"/>
  <c r="Y88" i="48"/>
  <c r="U158" i="48"/>
  <c r="Y158" i="48"/>
  <c r="U78" i="48"/>
  <c r="Y78" i="48"/>
  <c r="U49" i="48"/>
  <c r="Y49" i="48"/>
  <c r="U41" i="48"/>
  <c r="Y41" i="48"/>
  <c r="U156" i="48"/>
  <c r="Y156" i="48"/>
  <c r="U163" i="48"/>
  <c r="Y163" i="48"/>
  <c r="U129" i="48"/>
  <c r="Y129" i="48"/>
  <c r="U194" i="48"/>
  <c r="Y194" i="48"/>
  <c r="U181" i="48"/>
  <c r="Y181" i="48"/>
  <c r="U56" i="48"/>
  <c r="Y56" i="48"/>
  <c r="U99" i="48"/>
  <c r="Y99" i="48"/>
  <c r="U25" i="48"/>
  <c r="Y25" i="48"/>
  <c r="U83" i="48"/>
  <c r="Y83" i="48"/>
  <c r="U132" i="48"/>
  <c r="Y132" i="48"/>
  <c r="U26" i="48"/>
  <c r="Y26" i="48"/>
  <c r="U165" i="48"/>
  <c r="Y165" i="48"/>
  <c r="U63" i="48"/>
  <c r="Y63" i="48"/>
  <c r="U51" i="48"/>
  <c r="Y51" i="48"/>
  <c r="U92" i="48"/>
  <c r="Y92" i="48"/>
  <c r="U98" i="48"/>
  <c r="Y98" i="48"/>
  <c r="U82" i="48"/>
  <c r="Y82" i="48"/>
  <c r="U59" i="48"/>
  <c r="Y59" i="48"/>
  <c r="U96" i="48"/>
  <c r="Y96" i="48"/>
  <c r="U38" i="48"/>
  <c r="Y38" i="48"/>
  <c r="U54" i="48"/>
  <c r="Y54" i="48"/>
  <c r="U93" i="48"/>
  <c r="Y93" i="48"/>
  <c r="U65" i="48"/>
  <c r="Y65" i="48"/>
  <c r="U79" i="48"/>
  <c r="Y79" i="48"/>
  <c r="U8" i="48"/>
  <c r="Y8" i="48"/>
  <c r="U21" i="48"/>
  <c r="Y21" i="48"/>
  <c r="U39" i="48"/>
  <c r="Y39" i="48"/>
  <c r="U55" i="48"/>
  <c r="Y55" i="48"/>
  <c r="U102" i="48"/>
  <c r="Y102" i="48"/>
  <c r="U109" i="48"/>
  <c r="Y109" i="48"/>
  <c r="U136" i="48"/>
  <c r="Y136" i="48"/>
  <c r="U24" i="48"/>
  <c r="Y24" i="48"/>
  <c r="U11" i="48"/>
  <c r="Y11" i="48"/>
  <c r="U37" i="48"/>
  <c r="Y37" i="48"/>
  <c r="U27" i="48"/>
  <c r="Y27" i="48"/>
  <c r="U18" i="48"/>
  <c r="Y18" i="48"/>
  <c r="U36" i="48"/>
  <c r="Y36" i="48"/>
  <c r="U91" i="48"/>
  <c r="Y91" i="48"/>
  <c r="U97" i="48"/>
  <c r="Y97" i="48"/>
  <c r="U71" i="48"/>
  <c r="Y71" i="48"/>
  <c r="U116" i="48"/>
  <c r="Y116" i="48"/>
  <c r="U143" i="48"/>
  <c r="Y143" i="48"/>
  <c r="U161" i="48"/>
  <c r="Y161" i="48"/>
  <c r="U130" i="48"/>
  <c r="Y130" i="48"/>
  <c r="U175" i="48"/>
  <c r="Y175" i="48"/>
  <c r="U115" i="48"/>
  <c r="Y115" i="48"/>
  <c r="U139" i="48"/>
  <c r="Y139" i="48"/>
  <c r="U148" i="48"/>
  <c r="Y148" i="48"/>
  <c r="U34" i="48"/>
  <c r="Y34" i="48"/>
  <c r="U9" i="48"/>
  <c r="Y9" i="48"/>
  <c r="U150" i="48"/>
  <c r="Y150" i="48"/>
  <c r="U100" i="48"/>
  <c r="Y100" i="48"/>
  <c r="U5" i="48"/>
  <c r="Y5" i="48"/>
  <c r="U31" i="48"/>
  <c r="Y31" i="48"/>
  <c r="U15" i="48"/>
  <c r="Y15" i="48"/>
  <c r="U16" i="48"/>
  <c r="Y16" i="48"/>
  <c r="U19" i="48"/>
  <c r="Y19" i="48"/>
  <c r="U17" i="48"/>
  <c r="Y17" i="48"/>
  <c r="U173" i="48"/>
  <c r="Y173" i="48"/>
  <c r="U138" i="48"/>
  <c r="Y138" i="48"/>
  <c r="U169" i="48"/>
  <c r="Y169" i="48"/>
  <c r="U159" i="48"/>
  <c r="Y159" i="48"/>
  <c r="U87" i="48"/>
  <c r="Y87" i="48"/>
  <c r="U101" i="48"/>
  <c r="Y101" i="48"/>
  <c r="U75" i="48"/>
  <c r="Y75" i="48"/>
  <c r="U114" i="48"/>
  <c r="Y114" i="48"/>
  <c r="U4" i="48"/>
  <c r="Y4" i="48"/>
  <c r="U14" i="48"/>
  <c r="Y14" i="48"/>
  <c r="U32" i="48"/>
  <c r="Y32" i="48"/>
  <c r="U47" i="48"/>
  <c r="Y47" i="48"/>
  <c r="U94" i="48"/>
  <c r="Y94" i="48"/>
  <c r="U64" i="48"/>
  <c r="Y64" i="48"/>
  <c r="U128" i="48"/>
  <c r="Y128" i="48"/>
  <c r="U146" i="48"/>
  <c r="Y146" i="48"/>
  <c r="U3" i="48"/>
  <c r="Y3" i="48"/>
  <c r="U20" i="48"/>
  <c r="Y20" i="48"/>
  <c r="U10" i="48"/>
  <c r="Y10" i="48"/>
  <c r="U30" i="48"/>
  <c r="Y30" i="48"/>
  <c r="U43" i="48"/>
  <c r="Y43" i="48"/>
  <c r="U95" i="48"/>
  <c r="Y95" i="48"/>
  <c r="U104" i="48"/>
  <c r="Y104" i="48"/>
  <c r="U118" i="48"/>
  <c r="Y118" i="48"/>
  <c r="U141" i="48"/>
  <c r="Y141" i="48"/>
  <c r="U152" i="48"/>
  <c r="Y152" i="48"/>
  <c r="U160" i="48"/>
  <c r="Y160" i="48"/>
  <c r="U186" i="48"/>
  <c r="Y186" i="48"/>
  <c r="U171" i="48"/>
  <c r="Y171" i="48"/>
  <c r="U145" i="48"/>
  <c r="Y145" i="48"/>
  <c r="U199" i="48"/>
  <c r="Y199" i="48"/>
  <c r="U180" i="48"/>
  <c r="Y180" i="48"/>
  <c r="U168" i="48"/>
  <c r="Y168" i="48"/>
  <c r="U162" i="48"/>
  <c r="Y162" i="48"/>
  <c r="U119" i="48"/>
  <c r="Y119" i="48"/>
  <c r="U110" i="48"/>
  <c r="Y110" i="48"/>
  <c r="AA1" i="48"/>
  <c r="U167" i="48"/>
  <c r="Y167" i="48"/>
  <c r="U176" i="48"/>
  <c r="Y176" i="48"/>
  <c r="U177" i="48"/>
  <c r="Y177" i="48"/>
  <c r="U189" i="48"/>
  <c r="Y189" i="48"/>
  <c r="U187" i="48"/>
  <c r="Y187" i="48"/>
  <c r="U183" i="48"/>
  <c r="Y183" i="48"/>
  <c r="U46" i="48"/>
  <c r="Y46" i="48"/>
  <c r="U135" i="48"/>
  <c r="Y135" i="48"/>
  <c r="U80" i="48"/>
  <c r="Y80" i="48"/>
  <c r="U48" i="48"/>
  <c r="Y48" i="48"/>
  <c r="U58" i="48"/>
  <c r="Y58" i="48"/>
  <c r="U86" i="48"/>
  <c r="Y86" i="48"/>
  <c r="U61" i="48"/>
  <c r="Y61" i="48"/>
  <c r="U70" i="48"/>
  <c r="Y70" i="48"/>
  <c r="U166" i="48"/>
  <c r="Y166" i="48"/>
  <c r="U178" i="48"/>
  <c r="Y178" i="48"/>
  <c r="U198" i="48"/>
  <c r="Y198" i="48"/>
  <c r="U190" i="48"/>
  <c r="Y190" i="48"/>
  <c r="U188" i="48"/>
  <c r="Y188" i="48"/>
  <c r="U184" i="48"/>
  <c r="Y184" i="48"/>
  <c r="U182" i="48"/>
  <c r="Y182" i="48"/>
  <c r="U164" i="48"/>
  <c r="Y164" i="48"/>
  <c r="U121" i="48"/>
  <c r="Y121" i="48"/>
  <c r="U112" i="48"/>
  <c r="Y112" i="48"/>
  <c r="U133" i="48"/>
  <c r="Y133" i="48"/>
  <c r="U149" i="48"/>
  <c r="Y149" i="48"/>
  <c r="U76" i="48"/>
  <c r="Y76" i="48"/>
  <c r="U45" i="48"/>
  <c r="Y45" i="48"/>
  <c r="U50" i="48"/>
  <c r="Y50" i="48"/>
  <c r="U60" i="48"/>
  <c r="Y60" i="48"/>
  <c r="U68" i="48"/>
  <c r="Y68" i="48"/>
  <c r="U84" i="48"/>
  <c r="Y84" i="48"/>
</calcChain>
</file>

<file path=xl/comments1.xml><?xml version="1.0" encoding="utf-8"?>
<comments xmlns="http://schemas.openxmlformats.org/spreadsheetml/2006/main">
  <authors>
    <author>S840343J</author>
    <author>S910325A</author>
  </authors>
  <commentList>
    <comment ref="E4" authorId="0">
      <text>
        <r>
          <rPr>
            <sz val="8"/>
            <color indexed="81"/>
            <rFont val="Tahoma"/>
            <family val="2"/>
          </rPr>
          <t xml:space="preserve">Teaching in units this staff member coordinates: counted from sheet OFFERINGS
</t>
        </r>
      </text>
    </comment>
    <comment ref="F4" authorId="0">
      <text>
        <r>
          <rPr>
            <sz val="8"/>
            <color indexed="81"/>
            <rFont val="Tahoma"/>
            <family val="2"/>
          </rPr>
          <t xml:space="preserve">Teaching in units coordinated by another staff member (e.g. project groups). Counted from sheet TUTORIALS
</t>
        </r>
      </text>
    </comment>
    <comment ref="I9" authorId="0">
      <text>
        <r>
          <rPr>
            <sz val="8"/>
            <color indexed="81"/>
            <rFont val="Tahoma"/>
            <family val="2"/>
          </rPr>
          <t xml:space="preserve">For 6 months ASP - increase research by quarter year teac
hing + quarter year service
</t>
        </r>
      </text>
    </comment>
    <comment ref="M9" authorId="0">
      <text>
        <r>
          <rPr>
            <sz val="8"/>
            <color indexed="81"/>
            <rFont val="Tahoma"/>
            <family val="2"/>
          </rPr>
          <t>For 3 months ASP - reduce yearly service by quarter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2" authorId="0">
      <text>
        <r>
          <rPr>
            <sz val="8"/>
            <color indexed="81"/>
            <rFont val="Tahoma"/>
            <family val="2"/>
          </rPr>
          <t xml:space="preserve">For 3 months ASP - increase research by quarter year teaching + quarter year service
</t>
        </r>
      </text>
    </comment>
    <comment ref="M12" authorId="0">
      <text>
        <r>
          <rPr>
            <sz val="8"/>
            <color indexed="81"/>
            <rFont val="Tahoma"/>
            <family val="2"/>
          </rPr>
          <t>For 3 months ASP - reduce yearly service by quarter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" authorId="1">
      <text>
        <r>
          <rPr>
            <b/>
            <sz val="8"/>
            <color indexed="81"/>
            <rFont val="Tahoma"/>
            <family val="2"/>
          </rPr>
          <t>S910325A:</t>
        </r>
        <r>
          <rPr>
            <sz val="8"/>
            <color indexed="81"/>
            <rFont val="Tahoma"/>
            <family val="2"/>
          </rPr>
          <t xml:space="preserve">
1725 - 487.5 LSL in S1</t>
        </r>
      </text>
    </comment>
    <comment ref="B22" authorId="0">
      <text>
        <r>
          <rPr>
            <sz val="8"/>
            <color indexed="81"/>
            <rFont val="Tahoma"/>
            <family val="2"/>
          </rPr>
          <t xml:space="preserve">25% to CUE
</t>
        </r>
      </text>
    </comment>
  </commentList>
</comments>
</file>

<file path=xl/comments2.xml><?xml version="1.0" encoding="utf-8"?>
<comments xmlns="http://schemas.openxmlformats.org/spreadsheetml/2006/main">
  <authors>
    <author>S910325A</author>
  </authors>
  <commentList>
    <comment ref="Z148" authorId="0">
      <text>
        <r>
          <rPr>
            <b/>
            <sz val="8"/>
            <color indexed="81"/>
            <rFont val="Tahoma"/>
            <family val="2"/>
          </rPr>
          <t>S910325A:</t>
        </r>
        <r>
          <rPr>
            <sz val="8"/>
            <color indexed="81"/>
            <rFont val="Tahoma"/>
            <family val="2"/>
          </rPr>
          <t xml:space="preserve">
Neither Dave nor TK ha staught unit so it should be calculated on new unit rate.</t>
        </r>
      </text>
    </comment>
  </commentList>
</comments>
</file>

<file path=xl/comments3.xml><?xml version="1.0" encoding="utf-8"?>
<comments xmlns="http://schemas.openxmlformats.org/spreadsheetml/2006/main">
  <authors>
    <author>S840343J</author>
  </authors>
  <commentList>
    <comment ref="AG55" authorId="0">
      <text>
        <r>
          <rPr>
            <b/>
            <sz val="8"/>
            <color indexed="81"/>
            <rFont val="Tahoma"/>
            <family val="2"/>
          </rPr>
          <t>took this out as skewing total too much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<sst xmlns="http://schemas.openxmlformats.org/spreadsheetml/2006/main" count="4333" uniqueCount="471">
  <si>
    <t>UIG authoring</t>
  </si>
  <si>
    <t>ULG authoring</t>
  </si>
  <si>
    <t>Textbook evaluating</t>
  </si>
  <si>
    <t>Software evaluating</t>
  </si>
  <si>
    <t>ECMS requesting</t>
  </si>
  <si>
    <t>ECMS evaluating</t>
  </si>
  <si>
    <t>UIG revising [for offering]</t>
  </si>
  <si>
    <t>tutorial delivering</t>
  </si>
  <si>
    <t>class lists managing</t>
  </si>
  <si>
    <t>texbook requesting [bookshop]</t>
  </si>
  <si>
    <t>assignment marking</t>
  </si>
  <si>
    <t>exam marking</t>
  </si>
  <si>
    <t>lab requesting</t>
  </si>
  <si>
    <t>results finalising</t>
  </si>
  <si>
    <t>Lectopia requesting</t>
  </si>
  <si>
    <t>student managing</t>
  </si>
  <si>
    <t>LMS requesting</t>
  </si>
  <si>
    <t>LMS administering</t>
  </si>
  <si>
    <t>exam requesting</t>
  </si>
  <si>
    <t>lecture delivering</t>
  </si>
  <si>
    <t>software testing</t>
  </si>
  <si>
    <t>exam authoring</t>
  </si>
  <si>
    <t>exam marking guide authoring</t>
  </si>
  <si>
    <t>assignment authoring</t>
  </si>
  <si>
    <t>assignment marking guide authoring</t>
  </si>
  <si>
    <t>external studies mailing</t>
  </si>
  <si>
    <t>EP communcating</t>
  </si>
  <si>
    <t>assignment moderating</t>
  </si>
  <si>
    <t>offshore staff communicating</t>
  </si>
  <si>
    <t xml:space="preserve">exam moderating </t>
  </si>
  <si>
    <t>staff communicating</t>
  </si>
  <si>
    <t>RESEARCH</t>
  </si>
  <si>
    <t>SERVICE</t>
  </si>
  <si>
    <t>CODE</t>
  </si>
  <si>
    <t>DESCRIPTION</t>
  </si>
  <si>
    <t>Asynchronous external</t>
  </si>
  <si>
    <t>Synchrononous partnership</t>
  </si>
  <si>
    <t>Synchronous external</t>
  </si>
  <si>
    <t>Asynchronous partnership</t>
  </si>
  <si>
    <t>SHORT DESCRIPTION</t>
  </si>
  <si>
    <t>Synchronous other campus</t>
  </si>
  <si>
    <t>Internal offering at a different campus in same teaching period as the Murdoch Internal equivalent, eg ICT108 at Murdoch and Rockingham.</t>
  </si>
  <si>
    <t>Synchronous postgraduate</t>
  </si>
  <si>
    <t>Equivalent double-coded postgraduate offering, e.g. ICT256/556. Usually teaching is shared and assessment differs.</t>
  </si>
  <si>
    <t>Seminar</t>
  </si>
  <si>
    <t>Alternative to the lecture+tutorial pattern consisting of a single 3-hour seminar format. Normally used in postgraduate units that are not double coded with undergraduate.</t>
  </si>
  <si>
    <t>LT*</t>
  </si>
  <si>
    <t>LT1</t>
  </si>
  <si>
    <t>LT2</t>
  </si>
  <si>
    <t>Lecture weeks</t>
  </si>
  <si>
    <t>Tutorial weeks</t>
  </si>
  <si>
    <t>Tutorial size</t>
  </si>
  <si>
    <t>Marking hours per student per semester</t>
  </si>
  <si>
    <t xml:space="preserve">lecture revising </t>
  </si>
  <si>
    <t xml:space="preserve">tutorial revising </t>
  </si>
  <si>
    <t>LT3</t>
  </si>
  <si>
    <t>LT4</t>
  </si>
  <si>
    <t>LT5</t>
  </si>
  <si>
    <t>LT6</t>
  </si>
  <si>
    <t>LT7</t>
  </si>
  <si>
    <t>Seminar, internal</t>
  </si>
  <si>
    <t>Teaching Patterns</t>
  </si>
  <si>
    <t>IND*</t>
  </si>
  <si>
    <t>PRJ*</t>
  </si>
  <si>
    <t>Project-based</t>
  </si>
  <si>
    <t>Team project based unit such as ICT333/313</t>
  </si>
  <si>
    <t>Independent study</t>
  </si>
  <si>
    <t>Independent study contract units where there is a single student/supervisor, e.g. ICT295, ICT617</t>
  </si>
  <si>
    <t>Workplace based units</t>
  </si>
  <si>
    <t>Workplace</t>
  </si>
  <si>
    <t>Internal</t>
  </si>
  <si>
    <t>External offering in a teaching period where there is no external equivalent, eg ICT105 in S2. (note assumes sharing materials from previous internal offering)</t>
  </si>
  <si>
    <t>LT, Internal</t>
  </si>
  <si>
    <t>LT, Synchronous external</t>
  </si>
  <si>
    <t>LT, Asynchronous external</t>
  </si>
  <si>
    <t>LT, Synchronous other campus</t>
  </si>
  <si>
    <t>LT, Synchrononous partnership</t>
  </si>
  <si>
    <t>LT, Asynchronous partnership</t>
  </si>
  <si>
    <t>LT, Synchronous postgraduate</t>
  </si>
  <si>
    <t>Flat rate activities</t>
  </si>
  <si>
    <t>Per student activities</t>
  </si>
  <si>
    <t>TOTAL for base load</t>
  </si>
  <si>
    <t>Total for per student</t>
  </si>
  <si>
    <t>Default hours</t>
  </si>
  <si>
    <t>Base</t>
  </si>
  <si>
    <t>Tutorial</t>
  </si>
  <si>
    <t>Student</t>
  </si>
  <si>
    <t>D</t>
  </si>
  <si>
    <t>X</t>
  </si>
  <si>
    <t>Unit code</t>
  </si>
  <si>
    <t>Unit Name</t>
  </si>
  <si>
    <t>Mode</t>
  </si>
  <si>
    <t>Teaching Period</t>
  </si>
  <si>
    <t>Location</t>
  </si>
  <si>
    <t>Base hours</t>
  </si>
  <si>
    <t>Per student multiplier</t>
  </si>
  <si>
    <t>Per tutorial multiplier</t>
  </si>
  <si>
    <t>Teaching Pattern</t>
  </si>
  <si>
    <t>ICT101</t>
  </si>
  <si>
    <t>S2</t>
  </si>
  <si>
    <t>Murdoch</t>
  </si>
  <si>
    <t>Dubai</t>
  </si>
  <si>
    <t>Coordination (base+per student)</t>
  </si>
  <si>
    <t>Introduction to 3D Graphics and Animation</t>
  </si>
  <si>
    <t>ICT107</t>
  </si>
  <si>
    <t>Principles of Information Systems</t>
  </si>
  <si>
    <t>ICT108</t>
  </si>
  <si>
    <t>Rockingham</t>
  </si>
  <si>
    <t>S1</t>
  </si>
  <si>
    <t>LT, Second Internal</t>
  </si>
  <si>
    <t>LT8</t>
  </si>
  <si>
    <t>LT, Second internal</t>
  </si>
  <si>
    <t>TEACHING PATTERNS</t>
  </si>
  <si>
    <t>TEACHING ACTIVITIES</t>
  </si>
  <si>
    <t>Code</t>
  </si>
  <si>
    <t>Description</t>
  </si>
  <si>
    <t>Assumptions of metrics</t>
  </si>
  <si>
    <t>x</t>
  </si>
  <si>
    <t>Unit reader revising</t>
  </si>
  <si>
    <t>Unit reader requesting [print room]</t>
  </si>
  <si>
    <t>Projected Enrolments</t>
  </si>
  <si>
    <t>ICT102</t>
  </si>
  <si>
    <t>Introduction to Computer Science</t>
  </si>
  <si>
    <t>ICT103</t>
  </si>
  <si>
    <t>Introduction to Data Communication</t>
  </si>
  <si>
    <t>ICT104</t>
  </si>
  <si>
    <t>Principles of Computer Science</t>
  </si>
  <si>
    <t>ICT105</t>
  </si>
  <si>
    <t>Introduction to Information Technology</t>
  </si>
  <si>
    <t>ICT106</t>
  </si>
  <si>
    <t>Fundamentals of Computer Systems</t>
  </si>
  <si>
    <t>Introduction to Internet and Mobile Technologies</t>
  </si>
  <si>
    <t>ICT120</t>
  </si>
  <si>
    <t>Principles of Data Communications</t>
  </si>
  <si>
    <t>Second internal</t>
  </si>
  <si>
    <t xml:space="preserve">Internal offering in same year, eg ICT102 has LT1 in S1 and LT8 in S2. Assumes reuse of lecture and tutorial material </t>
  </si>
  <si>
    <t>ICT207</t>
  </si>
  <si>
    <t>Games Design and Programming</t>
  </si>
  <si>
    <t>Peel</t>
  </si>
  <si>
    <t>ICT208</t>
  </si>
  <si>
    <t>Business Intelligence Tools and Techniques</t>
  </si>
  <si>
    <t>T1A</t>
  </si>
  <si>
    <t>Kaplan</t>
  </si>
  <si>
    <t>T2A</t>
  </si>
  <si>
    <t>T3A</t>
  </si>
  <si>
    <t>T3B</t>
  </si>
  <si>
    <t>SGP1</t>
  </si>
  <si>
    <t>ICT209</t>
  </si>
  <si>
    <t>Data Structures and Abstractions</t>
  </si>
  <si>
    <t>ICT215</t>
  </si>
  <si>
    <t>Computer Graphics Principles and Programming</t>
  </si>
  <si>
    <t>ICT218</t>
  </si>
  <si>
    <t>Databases</t>
  </si>
  <si>
    <t>T1B</t>
  </si>
  <si>
    <t>ICT219</t>
  </si>
  <si>
    <t>Intelligent Systems</t>
  </si>
  <si>
    <t>ICT231</t>
  </si>
  <si>
    <t>Systems Analysis and Design</t>
  </si>
  <si>
    <t>ICT239</t>
  </si>
  <si>
    <t>Software Development Frameworks</t>
  </si>
  <si>
    <t>ICT241</t>
  </si>
  <si>
    <t>Games Software Design</t>
  </si>
  <si>
    <t>ICT245</t>
  </si>
  <si>
    <t>Games Software Production</t>
  </si>
  <si>
    <t>ICT248</t>
  </si>
  <si>
    <t>Cyber Forensics</t>
  </si>
  <si>
    <t>ICT256</t>
  </si>
  <si>
    <t>ICT264</t>
  </si>
  <si>
    <t>ICT265</t>
  </si>
  <si>
    <t>Knowledge Management Techniques</t>
  </si>
  <si>
    <t>Wireless Networks</t>
  </si>
  <si>
    <t>Knowledge and Information Security</t>
  </si>
  <si>
    <t>T2B</t>
  </si>
  <si>
    <t>ICT306</t>
  </si>
  <si>
    <t>Software Architectures</t>
  </si>
  <si>
    <t>ICT309</t>
  </si>
  <si>
    <t>Games Development</t>
  </si>
  <si>
    <t>ICT311</t>
  </si>
  <si>
    <t>Advanced Games Design and Programming</t>
  </si>
  <si>
    <t>ICT312</t>
  </si>
  <si>
    <t>Virtual Environments for Games and Simulations</t>
  </si>
  <si>
    <t>ICT313</t>
  </si>
  <si>
    <t>Games Technology Project</t>
  </si>
  <si>
    <t>ICT353</t>
  </si>
  <si>
    <t>ICT339</t>
  </si>
  <si>
    <t>ICT349</t>
  </si>
  <si>
    <t>ICT338</t>
  </si>
  <si>
    <t>ICT336</t>
  </si>
  <si>
    <t>ICT211</t>
  </si>
  <si>
    <t>ICT325</t>
  </si>
  <si>
    <t>ICT357</t>
  </si>
  <si>
    <t>ICT344</t>
  </si>
  <si>
    <t>ICT362</t>
  </si>
  <si>
    <t>ICT363</t>
  </si>
  <si>
    <t>ICT347</t>
  </si>
  <si>
    <t>Web Computing</t>
  </si>
  <si>
    <t>Human-Computer Interaction</t>
  </si>
  <si>
    <t>Internet Systems Programming</t>
  </si>
  <si>
    <t>Computer Systems and Network Management</t>
  </si>
  <si>
    <t>Computer Security</t>
  </si>
  <si>
    <t>IP Telephony</t>
  </si>
  <si>
    <t>Advanced Network Design</t>
  </si>
  <si>
    <t>Forensic Data Analysis</t>
  </si>
  <si>
    <t>Advanced Business Analysis and Design</t>
  </si>
  <si>
    <t>Information Security Management</t>
  </si>
  <si>
    <t>Network Security</t>
  </si>
  <si>
    <t>Network Switching</t>
  </si>
  <si>
    <t>ICT532</t>
  </si>
  <si>
    <t>ICT535</t>
  </si>
  <si>
    <t>ICT617</t>
  </si>
  <si>
    <t>ICT647</t>
  </si>
  <si>
    <t>ICT539</t>
  </si>
  <si>
    <t>ICT638</t>
  </si>
  <si>
    <t>ICT548</t>
  </si>
  <si>
    <t>ICT616</t>
  </si>
  <si>
    <t>ICT518</t>
  </si>
  <si>
    <t>ICT649</t>
  </si>
  <si>
    <t>ICT333</t>
  </si>
  <si>
    <t>ICT557</t>
  </si>
  <si>
    <t>ICT556</t>
  </si>
  <si>
    <t>ICT618</t>
  </si>
  <si>
    <t>ICT622</t>
  </si>
  <si>
    <t>ICT644</t>
  </si>
  <si>
    <t>ICT672</t>
  </si>
  <si>
    <t>ICT663</t>
  </si>
  <si>
    <t>ICT565</t>
  </si>
  <si>
    <t>ICT310</t>
  </si>
  <si>
    <t>ICT531</t>
  </si>
  <si>
    <t>ICT564</t>
  </si>
  <si>
    <t>WKP356</t>
  </si>
  <si>
    <t>Operating Systems and Systems Programming</t>
  </si>
  <si>
    <t>Information Technology Project</t>
  </si>
  <si>
    <t>ICT650</t>
  </si>
  <si>
    <t>ICT619</t>
  </si>
  <si>
    <t>ICT612</t>
  </si>
  <si>
    <t>Information Technology Research Methodologies</t>
  </si>
  <si>
    <t>Advanced Business Data Communications</t>
  </si>
  <si>
    <t>Human Factors in Information Technology</t>
  </si>
  <si>
    <t>Data Resources Management</t>
  </si>
  <si>
    <t>Advanced IT Study Project</t>
  </si>
  <si>
    <t>Information Technology Project Management</t>
  </si>
  <si>
    <t>Intelligent Systems Applications</t>
  </si>
  <si>
    <t>Information Technology Strategy</t>
  </si>
  <si>
    <t>Structured Workplace Learning Placement - IT</t>
  </si>
  <si>
    <t>FDN107</t>
  </si>
  <si>
    <t>Next Life</t>
  </si>
  <si>
    <t>ENTER ENROLMENTS</t>
  </si>
  <si>
    <t>Total workload for offering</t>
  </si>
  <si>
    <t>ICT477</t>
  </si>
  <si>
    <t>ICT521</t>
  </si>
  <si>
    <t>ICT546</t>
  </si>
  <si>
    <t>LAN Design and Implementation</t>
  </si>
  <si>
    <t>IT Professional Practice</t>
  </si>
  <si>
    <t>Grand Total</t>
  </si>
  <si>
    <t>Onshore</t>
  </si>
  <si>
    <t>Offshore</t>
  </si>
  <si>
    <t>Onshore/ offshore</t>
  </si>
  <si>
    <t>Undergrad/ Postgrad</t>
  </si>
  <si>
    <t>Postgraduate</t>
  </si>
  <si>
    <t>Undergraduate</t>
  </si>
  <si>
    <t>LT9</t>
  </si>
  <si>
    <t>Internal, first year</t>
  </si>
  <si>
    <t>LT, First year Internal</t>
  </si>
  <si>
    <t>LT, First year</t>
  </si>
  <si>
    <t>tutorial delivering, first year</t>
  </si>
  <si>
    <t>Supervised tutorial hours for LT9</t>
  </si>
  <si>
    <t>calc</t>
  </si>
  <si>
    <t>0 - Unallocated</t>
  </si>
  <si>
    <t>SM1</t>
  </si>
  <si>
    <t>seminar revising</t>
  </si>
  <si>
    <t>seminar delivering</t>
  </si>
  <si>
    <t>seminar marking</t>
  </si>
  <si>
    <t>Seminar hours per week</t>
  </si>
  <si>
    <t>Seminar size</t>
  </si>
  <si>
    <t>Group project</t>
  </si>
  <si>
    <t>Individual project</t>
  </si>
  <si>
    <t>SM*</t>
  </si>
  <si>
    <t>PRJ1</t>
  </si>
  <si>
    <t>IND1</t>
  </si>
  <si>
    <t>WKP1</t>
  </si>
  <si>
    <t>Workplace project</t>
  </si>
  <si>
    <t>group meeting</t>
  </si>
  <si>
    <t>group project marking</t>
  </si>
  <si>
    <t>Group project deliverables, authoring</t>
  </si>
  <si>
    <t>Client communicating</t>
  </si>
  <si>
    <t>Default no. students per tutorial/ group</t>
  </si>
  <si>
    <t>Students per tutorial/group</t>
  </si>
  <si>
    <t>PRJ2</t>
  </si>
  <si>
    <t>Group project, external</t>
  </si>
  <si>
    <t>PRJ6</t>
  </si>
  <si>
    <t>Group project, asynchronous other campus</t>
  </si>
  <si>
    <t>Group project (ICT313, 333) size</t>
  </si>
  <si>
    <t>lookup</t>
  </si>
  <si>
    <t>data</t>
  </si>
  <si>
    <t>flag</t>
  </si>
  <si>
    <t>MRK</t>
  </si>
  <si>
    <t>Marking only</t>
  </si>
  <si>
    <t>Group project, internal</t>
  </si>
  <si>
    <t>Group project, asynchronous offshore</t>
  </si>
  <si>
    <t>Marking</t>
  </si>
  <si>
    <t>Staff</t>
  </si>
  <si>
    <t>z - Cancelled</t>
  </si>
  <si>
    <t xml:space="preserve">TOTAL LOAD </t>
  </si>
  <si>
    <t>Unit Teaching</t>
  </si>
  <si>
    <t>Research Supervision</t>
  </si>
  <si>
    <t>Target</t>
  </si>
  <si>
    <t>TEACHING</t>
  </si>
  <si>
    <t>Baseline Research</t>
  </si>
  <si>
    <t>Baseline Service</t>
  </si>
  <si>
    <t>Other Research</t>
  </si>
  <si>
    <t>Other Service</t>
  </si>
  <si>
    <t>The internal, on-campus version, involving lectures and an exam, but small teams rather than tutorials, and additional activities such as client liaison.</t>
  </si>
  <si>
    <t>Total for per tutorial/group</t>
  </si>
  <si>
    <t>Per tutorial/group activities</t>
  </si>
  <si>
    <t>FDN1</t>
  </si>
  <si>
    <t>Supervised tutorial hours for LT1</t>
  </si>
  <si>
    <t>Lecture hours per week for LT</t>
  </si>
  <si>
    <t>Tutorial hours per week for LT</t>
  </si>
  <si>
    <t>Individual project size</t>
  </si>
  <si>
    <t>Workplace project size</t>
  </si>
  <si>
    <t>lecture attending</t>
  </si>
  <si>
    <t>Foundation unit, Internal</t>
  </si>
  <si>
    <t>individual assignment marking</t>
  </si>
  <si>
    <t>individual project marking</t>
  </si>
  <si>
    <t>student consulting</t>
  </si>
  <si>
    <t>Foundation unit</t>
  </si>
  <si>
    <t>FDN*</t>
  </si>
  <si>
    <t>Foundation unit (here FDN107)</t>
  </si>
  <si>
    <t>WKP*</t>
  </si>
  <si>
    <t>Foundation unit, internal</t>
  </si>
  <si>
    <t>Differs from LT1 in that lectures are given by guests (about half from outside IT) and the tutors assume a greater role in student consultation.  Offshore and external are similar to the LT patterns.</t>
  </si>
  <si>
    <t>Lecture/tutorial</t>
  </si>
  <si>
    <t>2 hours lecture; 2 hour tutorial; 3 assignments equivalent; final exam. Several offering types, listed below. All assume that LT Internal is offered some time during the year so e.g. lecture writing is shared.</t>
  </si>
  <si>
    <t>Internal, Murdoch campus offering of the unit. 2 hour tutorial with 1 hour supervised. May also be offered in other modes/teaching periods. Can be thought of as the 'primary' offering.</t>
  </si>
  <si>
    <t xml:space="preserve">Offering at partnership location in same teaching period as Murdoch internal.  KDU is sometimes synchronous. </t>
  </si>
  <si>
    <t>As for LT1 but with 2 hour supervised tutorials; used for 100-level offerings</t>
  </si>
  <si>
    <t>Internal seminar-based unit such as ICT616. Normally a single session per week but a large unit like ICT353/532 may end up running two.</t>
  </si>
  <si>
    <t>Assumed similar to internal in terms of team management but no additional contact.</t>
  </si>
  <si>
    <t>ICT333 run at an offshore location. Involves managing clients and projects but generally no team supervision or marking.</t>
  </si>
  <si>
    <t>There is some load for coordination (allocating students to supervisors) but the meetings and assessment are by individual supervisors.</t>
  </si>
  <si>
    <t>As for IND1 except that there is additional load for the coordinator to manage the industry liaison side.</t>
  </si>
  <si>
    <t xml:space="preserve">Also used for additional offerings of a unit that are very low enrolment, such as the external offerings of double coded postgraduate units, where the load is effectively only exam/assignment marking and LT2 would give too high a figure. A bit of a bodge. </t>
  </si>
  <si>
    <t xml:space="preserve">External offering in the same teaching period as the internal equivalent, eg. ICT218 int, ext in S2. </t>
  </si>
  <si>
    <t>Number of Offerings</t>
  </si>
  <si>
    <t>Workload left for casual/other staff</t>
  </si>
  <si>
    <t>ENTER COORDINATOR</t>
  </si>
  <si>
    <t>ENTER COORDINATOR TUTORIALS/ GROUPS</t>
  </si>
  <si>
    <t>Coordinator workload this offering</t>
  </si>
  <si>
    <t>Number of tutorials/ groups to other staff</t>
  </si>
  <si>
    <t>ENTER CASUAL TUTORIAL/ GROUPS</t>
  </si>
  <si>
    <t>Number of tutorials/ groups to Casuals</t>
  </si>
  <si>
    <t>Coordinator tutorials/ groups</t>
  </si>
  <si>
    <t xml:space="preserve">Coordinator name </t>
  </si>
  <si>
    <t>Number of tutorials/ groups required</t>
  </si>
  <si>
    <t>WORKLOAD HOURS REMAINING TO FILL</t>
  </si>
  <si>
    <t>Confirm 1 (confirmed) or 0 (cancel)</t>
  </si>
  <si>
    <t>ENTER CONFIRM/ CANCEL OFFERING</t>
  </si>
  <si>
    <t>Comments</t>
  </si>
  <si>
    <t>TTUT1 rate</t>
  </si>
  <si>
    <t>TTUT2 rate</t>
  </si>
  <si>
    <t>Tutorial/group hours per week</t>
  </si>
  <si>
    <t>Load hours for staff</t>
  </si>
  <si>
    <t>OPTR220</t>
  </si>
  <si>
    <t>OUA-2</t>
  </si>
  <si>
    <t>OUA</t>
  </si>
  <si>
    <t>Knowledge and Information Security (OUA)</t>
  </si>
  <si>
    <t>OUA-3</t>
  </si>
  <si>
    <t>FRACTION in 2012</t>
  </si>
  <si>
    <t>Total load, Number of Offerings, Unit Teaching and Other Teaching, Baseline Research and Service are looked up; the rest is hard coded for now</t>
  </si>
  <si>
    <t>supervision updated</t>
  </si>
  <si>
    <t>Supervision 2011</t>
  </si>
  <si>
    <t>PASTE COLUMN INTO COLUMN J OF SHEET TUTORIAL</t>
  </si>
  <si>
    <t>Unit name</t>
  </si>
  <si>
    <t>Period</t>
  </si>
  <si>
    <t>Tute#</t>
  </si>
  <si>
    <t>Tutor</t>
  </si>
  <si>
    <t>Staff type</t>
  </si>
  <si>
    <t>Coordinator</t>
  </si>
  <si>
    <t>select</t>
  </si>
  <si>
    <t>Enter Staff or Casual</t>
  </si>
  <si>
    <t>calculated</t>
  </si>
  <si>
    <t>PG Acad Chair S1</t>
  </si>
  <si>
    <t>IS Acad Chair</t>
  </si>
  <si>
    <t>Games Acad Chair</t>
  </si>
  <si>
    <t>PG Acad Chair S2??</t>
  </si>
  <si>
    <t>Director PG</t>
  </si>
  <si>
    <t>Supervision updated</t>
  </si>
  <si>
    <t>Service description</t>
  </si>
  <si>
    <t>Other Teaching</t>
  </si>
  <si>
    <t>IntSec Acad Chair S2</t>
  </si>
  <si>
    <t>Shared with Terry</t>
  </si>
  <si>
    <t>Row Labels</t>
  </si>
  <si>
    <t>Anything else! - enter hours</t>
  </si>
  <si>
    <t>LSL in S1 (10 weeks). Supervision updated for 2012 for half year</t>
  </si>
  <si>
    <t>Names of other staff involved (list them for reference)</t>
  </si>
  <si>
    <t>Load hours to casual</t>
  </si>
  <si>
    <t>Dean 80%, HDR coordinator</t>
  </si>
  <si>
    <t>appointment not confirmed</t>
  </si>
  <si>
    <r>
      <t xml:space="preserve">This page is generated and pre-populated from sheet OFFERINGS but changes made here are not reflected in OFFERINGS. That means that if you need to change the number of </t>
    </r>
    <r>
      <rPr>
        <b/>
        <sz val="12"/>
        <color theme="1"/>
        <rFont val="Calibri"/>
        <family val="2"/>
        <scheme val="minor"/>
      </rPr>
      <t>coordinator</t>
    </r>
    <r>
      <rPr>
        <sz val="12"/>
        <color theme="1"/>
        <rFont val="Calibri"/>
        <family val="2"/>
        <scheme val="minor"/>
      </rPr>
      <t xml:space="preserve"> tutorials/groups, do it on sheet OFFERINGS or it won't be counted. 
Tutorials by </t>
    </r>
    <r>
      <rPr>
        <b/>
        <sz val="12"/>
        <color theme="1"/>
        <rFont val="Calibri"/>
        <family val="2"/>
        <scheme val="minor"/>
      </rPr>
      <t>non-coordinator staff</t>
    </r>
    <r>
      <rPr>
        <sz val="12"/>
        <color theme="1"/>
        <rFont val="Calibri"/>
        <family val="2"/>
        <scheme val="minor"/>
      </rPr>
      <t xml:space="preserve">, however, </t>
    </r>
    <r>
      <rPr>
        <b/>
        <sz val="12"/>
        <color theme="1"/>
        <rFont val="Calibri"/>
        <family val="2"/>
        <scheme val="minor"/>
      </rPr>
      <t xml:space="preserve">must be added here </t>
    </r>
    <r>
      <rPr>
        <sz val="12"/>
        <color theme="1"/>
        <rFont val="Calibri"/>
        <family val="2"/>
        <scheme val="minor"/>
      </rPr>
      <t xml:space="preserve">to be counted (e.g. project group supervision).
To allocate tutorials to non-coordinator, select staff name from list and add Staff as type. </t>
    </r>
  </si>
  <si>
    <t>IGNORE THIS SHEET</t>
  </si>
  <si>
    <t>Lookup for staff list. Don't change anything here</t>
  </si>
  <si>
    <t xml:space="preserve">Teaching pattern formulas for lookup. Don't touch anything here. </t>
  </si>
  <si>
    <t xml:space="preserve">Enter data in yellow columns. </t>
  </si>
  <si>
    <t>White are generated</t>
  </si>
  <si>
    <t>Column Labels</t>
  </si>
  <si>
    <t>Sum of Coordinator workload this offering</t>
  </si>
  <si>
    <t>ASP S1 (3 months?) - adjusted research/service fractions.  Supervision updated</t>
  </si>
  <si>
    <t xml:space="preserve">ASP S1 (3 months?) - adjusted research/service fractions. No supervision? </t>
  </si>
  <si>
    <t xml:space="preserve">LSL in S2 (20 weeks). Supervision updated for 2012 for half year. </t>
  </si>
  <si>
    <r>
      <rPr>
        <b/>
        <sz val="10"/>
        <color theme="1"/>
        <rFont val="Calibri"/>
        <family val="2"/>
        <scheme val="minor"/>
      </rPr>
      <t xml:space="preserve">ENTER OTHER STAFF TUTORIALS/ GROUPS </t>
    </r>
    <r>
      <rPr>
        <sz val="10"/>
        <color theme="1"/>
        <rFont val="Calibri"/>
        <family val="2"/>
        <scheme val="minor"/>
      </rPr>
      <t xml:space="preserve">
Note: hours are NOT added to staff load here, although they WILL reduce the 'Workload remaining to Fill' column - need to add to sheet Tutorials to add to staff load</t>
    </r>
  </si>
  <si>
    <t>calculation (can hide this column if you like)</t>
  </si>
  <si>
    <t>calculation</t>
  </si>
  <si>
    <t>lookup from teaching pattern</t>
  </si>
  <si>
    <t>IntSec Acad Chair S1??</t>
  </si>
  <si>
    <t>60% normally, on LSL for second half year. Supervision updated</t>
  </si>
  <si>
    <t>Supervision updated (confirm with Peter)</t>
  </si>
  <si>
    <t>CS Acad Chair+Deputy Dean</t>
  </si>
  <si>
    <t>Supervision updated. Target reduced as 25% to CUE</t>
  </si>
  <si>
    <r>
      <t>Supervision updated</t>
    </r>
    <r>
      <rPr>
        <sz val="11"/>
        <color rgb="FFFF0000"/>
        <rFont val="Calibri"/>
        <family val="2"/>
        <scheme val="minor"/>
      </rPr>
      <t xml:space="preserve"> PG Supervision Course need to be entered,</t>
    </r>
  </si>
  <si>
    <t>New Unit</t>
  </si>
  <si>
    <t>Hons coordinator, Discipline Officer</t>
  </si>
  <si>
    <t>Tutorial/group delivery hours per teaching period</t>
  </si>
  <si>
    <t>Tutorial hours to casual</t>
  </si>
  <si>
    <t>Average hourly rate</t>
  </si>
  <si>
    <t>T3D/TD1</t>
  </si>
  <si>
    <t>T2D/TD3</t>
  </si>
  <si>
    <t>LT10</t>
  </si>
  <si>
    <t>Asynchronous partnership, moderation only</t>
  </si>
  <si>
    <t>Offering at partnership location in different teaching period as Murdoch internal, eg Kaplan, SMA.  Coordinator moderates but does not mark exam (i.e. Dubai. MIT)</t>
  </si>
  <si>
    <t>Offering at partnership location in different teaching period as Murdoch internal, eg Kaplan, SMA.  All these assume coordinator marks exam.</t>
  </si>
  <si>
    <t>LT, Asynchronous partnership, moderation only</t>
  </si>
  <si>
    <t>MIT</t>
  </si>
  <si>
    <t>DICT102</t>
  </si>
  <si>
    <t>T1M</t>
  </si>
  <si>
    <t>T2M</t>
  </si>
  <si>
    <t>T3M</t>
  </si>
  <si>
    <t>DICT103</t>
  </si>
  <si>
    <t>DICT108</t>
  </si>
  <si>
    <t>FM</t>
  </si>
  <si>
    <t>RW</t>
  </si>
  <si>
    <t>Hong Away</t>
  </si>
  <si>
    <t>?</t>
  </si>
  <si>
    <t>Bill Away</t>
  </si>
  <si>
    <t>N1</t>
  </si>
  <si>
    <t>N2</t>
  </si>
  <si>
    <t>TJA</t>
  </si>
  <si>
    <t>Staff 1</t>
  </si>
  <si>
    <t>Staff 2</t>
  </si>
  <si>
    <t>Staff 3</t>
  </si>
  <si>
    <t>Staff 4</t>
  </si>
  <si>
    <t>Staff 5</t>
  </si>
  <si>
    <t>Staff 6</t>
  </si>
  <si>
    <t>Staff 7</t>
  </si>
  <si>
    <t>Staff 8</t>
  </si>
  <si>
    <t>Staff 9</t>
  </si>
  <si>
    <t>Staff 10</t>
  </si>
  <si>
    <t>Staff 11</t>
  </si>
  <si>
    <t>Staff 12</t>
  </si>
  <si>
    <t>Staff 13</t>
  </si>
  <si>
    <t>Staff 14</t>
  </si>
  <si>
    <t>Staff 15</t>
  </si>
  <si>
    <t>Staff 16</t>
  </si>
  <si>
    <t>Staff 17</t>
  </si>
  <si>
    <t>Staff 18</t>
  </si>
  <si>
    <t>Staff 19</t>
  </si>
  <si>
    <t>Staff 20</t>
  </si>
  <si>
    <t>TMD</t>
  </si>
  <si>
    <t>TSD</t>
  </si>
  <si>
    <t>TJD</t>
  </si>
  <si>
    <t>TMA</t>
  </si>
  <si>
    <t>TSA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</si>
</sst>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&quot;$&quot;* #,##0_-;\-&quot;$&quot;* #,##0_-;_-&quot;$&quot;* &quot;-&quot;_-;_-@_-"/>
    <numFmt numFmtId="165" formatCode="_-&quot;$&quot;* #,##0.00_-;\-&quot;$&quot;* #,##0.00_-;_-&quot;$&quot;* &quot;-&quot;??_-;_-@_-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48B5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0FAFE"/>
        <bgColor indexed="64"/>
      </patternFill>
    </fill>
  </fills>
  <borders count="2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theme="0" tint="-0.499984740745262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</borders>
  <cellStyleXfs count="2">
    <xf numFmtId="0" fontId="0" fillId="0" borderId="0"/>
    <xf numFmtId="165" fontId="15" fillId="0" borderId="0" applyFont="0" applyFill="0" applyBorder="0" applyAlignment="0" applyProtection="0"/>
  </cellStyleXfs>
  <cellXfs count="179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wrapText="1"/>
    </xf>
    <xf numFmtId="0" fontId="0" fillId="2" borderId="1" xfId="0" applyFill="1" applyBorder="1"/>
    <xf numFmtId="0" fontId="0" fillId="3" borderId="1" xfId="0" applyFill="1" applyBorder="1"/>
    <xf numFmtId="0" fontId="2" fillId="2" borderId="1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0" fillId="3" borderId="5" xfId="0" applyFill="1" applyBorder="1"/>
    <xf numFmtId="0" fontId="0" fillId="4" borderId="2" xfId="0" applyFill="1" applyBorder="1"/>
    <xf numFmtId="0" fontId="2" fillId="5" borderId="0" xfId="0" applyFont="1" applyFill="1"/>
    <xf numFmtId="0" fontId="6" fillId="6" borderId="0" xfId="0" applyFont="1" applyFill="1"/>
    <xf numFmtId="0" fontId="7" fillId="0" borderId="0" xfId="0" applyFont="1" applyAlignment="1">
      <alignment horizontal="center"/>
    </xf>
    <xf numFmtId="0" fontId="7" fillId="6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6" fillId="6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3" fillId="6" borderId="0" xfId="0" applyFont="1" applyFill="1" applyAlignment="1">
      <alignment horizontal="center"/>
    </xf>
    <xf numFmtId="0" fontId="0" fillId="7" borderId="0" xfId="0" applyFill="1" applyAlignment="1">
      <alignment wrapText="1"/>
    </xf>
    <xf numFmtId="0" fontId="0" fillId="8" borderId="0" xfId="0" applyFill="1" applyAlignment="1">
      <alignment horizontal="center" wrapText="1"/>
    </xf>
    <xf numFmtId="0" fontId="0" fillId="8" borderId="0" xfId="0" applyFill="1" applyAlignment="1">
      <alignment wrapText="1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wrapText="1"/>
    </xf>
    <xf numFmtId="0" fontId="0" fillId="9" borderId="0" xfId="0" applyFill="1" applyAlignment="1">
      <alignment horizontal="center" wrapText="1"/>
    </xf>
    <xf numFmtId="0" fontId="0" fillId="9" borderId="0" xfId="0" applyFill="1" applyAlignment="1">
      <alignment wrapText="1"/>
    </xf>
    <xf numFmtId="0" fontId="7" fillId="10" borderId="0" xfId="0" applyFont="1" applyFill="1" applyAlignment="1">
      <alignment horizontal="center" wrapText="1"/>
    </xf>
    <xf numFmtId="0" fontId="0" fillId="10" borderId="0" xfId="0" applyFill="1" applyAlignment="1">
      <alignment wrapText="1"/>
    </xf>
    <xf numFmtId="0" fontId="0" fillId="11" borderId="0" xfId="0" applyFill="1" applyAlignment="1">
      <alignment wrapText="1"/>
    </xf>
    <xf numFmtId="0" fontId="0" fillId="11" borderId="0" xfId="0" applyFill="1" applyAlignment="1">
      <alignment horizontal="center" wrapText="1"/>
    </xf>
    <xf numFmtId="0" fontId="0" fillId="12" borderId="0" xfId="0" applyFill="1" applyAlignment="1">
      <alignment wrapText="1"/>
    </xf>
    <xf numFmtId="0" fontId="0" fillId="12" borderId="0" xfId="0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7" fillId="5" borderId="0" xfId="0" applyFont="1" applyFill="1" applyAlignment="1">
      <alignment horizontal="center"/>
    </xf>
    <xf numFmtId="0" fontId="2" fillId="13" borderId="1" xfId="0" applyFont="1" applyFill="1" applyBorder="1" applyAlignment="1">
      <alignment wrapText="1"/>
    </xf>
    <xf numFmtId="0" fontId="0" fillId="13" borderId="1" xfId="0" applyFill="1" applyBorder="1"/>
    <xf numFmtId="0" fontId="2" fillId="3" borderId="2" xfId="0" applyFont="1" applyFill="1" applyBorder="1" applyAlignment="1"/>
    <xf numFmtId="0" fontId="2" fillId="3" borderId="3" xfId="0" applyFont="1" applyFill="1" applyBorder="1" applyAlignment="1"/>
    <xf numFmtId="0" fontId="0" fillId="2" borderId="1" xfId="0" applyFont="1" applyFill="1" applyBorder="1"/>
    <xf numFmtId="0" fontId="2" fillId="12" borderId="1" xfId="0" applyFont="1" applyFill="1" applyBorder="1" applyAlignment="1">
      <alignment wrapText="1"/>
    </xf>
    <xf numFmtId="0" fontId="0" fillId="12" borderId="1" xfId="0" applyFill="1" applyBorder="1"/>
    <xf numFmtId="0" fontId="2" fillId="14" borderId="4" xfId="0" applyFont="1" applyFill="1" applyBorder="1" applyAlignment="1">
      <alignment wrapText="1"/>
    </xf>
    <xf numFmtId="0" fontId="2" fillId="14" borderId="1" xfId="0" applyFont="1" applyFill="1" applyBorder="1" applyAlignment="1">
      <alignment wrapText="1"/>
    </xf>
    <xf numFmtId="0" fontId="2" fillId="0" borderId="0" xfId="0" applyFont="1" applyFill="1"/>
    <xf numFmtId="0" fontId="2" fillId="13" borderId="2" xfId="0" applyFont="1" applyFill="1" applyBorder="1" applyAlignment="1">
      <alignment wrapText="1"/>
    </xf>
    <xf numFmtId="0" fontId="0" fillId="13" borderId="2" xfId="0" applyFill="1" applyBorder="1"/>
    <xf numFmtId="0" fontId="2" fillId="15" borderId="1" xfId="0" applyFont="1" applyFill="1" applyBorder="1" applyAlignment="1">
      <alignment wrapText="1"/>
    </xf>
    <xf numFmtId="0" fontId="0" fillId="15" borderId="1" xfId="0" applyFill="1" applyBorder="1"/>
    <xf numFmtId="0" fontId="0" fillId="15" borderId="1" xfId="0" applyFill="1" applyBorder="1" applyAlignment="1">
      <alignment wrapText="1"/>
    </xf>
    <xf numFmtId="0" fontId="0" fillId="15" borderId="1" xfId="0" applyFont="1" applyFill="1" applyBorder="1" applyAlignment="1">
      <alignment wrapText="1"/>
    </xf>
    <xf numFmtId="0" fontId="0" fillId="16" borderId="0" xfId="0" applyFill="1" applyAlignment="1">
      <alignment horizontal="center" wrapText="1"/>
    </xf>
    <xf numFmtId="0" fontId="0" fillId="16" borderId="0" xfId="0" applyFill="1" applyAlignment="1">
      <alignment wrapText="1"/>
    </xf>
    <xf numFmtId="0" fontId="2" fillId="16" borderId="0" xfId="0" applyFont="1" applyFill="1" applyAlignment="1"/>
    <xf numFmtId="0" fontId="0" fillId="17" borderId="0" xfId="0" applyFill="1" applyAlignment="1">
      <alignment horizontal="center" wrapText="1"/>
    </xf>
    <xf numFmtId="0" fontId="0" fillId="17" borderId="0" xfId="0" applyFill="1" applyAlignment="1">
      <alignment wrapText="1"/>
    </xf>
    <xf numFmtId="0" fontId="2" fillId="10" borderId="0" xfId="0" applyFont="1" applyFill="1" applyAlignment="1">
      <alignment horizontal="center"/>
    </xf>
    <xf numFmtId="0" fontId="2" fillId="10" borderId="0" xfId="0" applyFont="1" applyFill="1"/>
    <xf numFmtId="0" fontId="0" fillId="10" borderId="0" xfId="0" applyFill="1" applyAlignment="1">
      <alignment horizontal="center" wrapText="1"/>
    </xf>
    <xf numFmtId="0" fontId="0" fillId="9" borderId="0" xfId="0" applyFont="1" applyFill="1"/>
    <xf numFmtId="0" fontId="0" fillId="9" borderId="0" xfId="0" applyFont="1" applyFill="1" applyAlignment="1">
      <alignment horizontal="center"/>
    </xf>
    <xf numFmtId="0" fontId="2" fillId="12" borderId="4" xfId="0" applyFont="1" applyFill="1" applyBorder="1" applyAlignment="1"/>
    <xf numFmtId="0" fontId="2" fillId="10" borderId="2" xfId="0" applyFont="1" applyFill="1" applyBorder="1" applyAlignment="1">
      <alignment wrapText="1"/>
    </xf>
    <xf numFmtId="0" fontId="0" fillId="10" borderId="2" xfId="0" applyFill="1" applyBorder="1"/>
    <xf numFmtId="0" fontId="2" fillId="12" borderId="3" xfId="0" applyFont="1" applyFill="1" applyBorder="1" applyAlignment="1"/>
    <xf numFmtId="0" fontId="0" fillId="18" borderId="0" xfId="0" applyFill="1" applyAlignment="1">
      <alignment wrapText="1"/>
    </xf>
    <xf numFmtId="0" fontId="0" fillId="18" borderId="0" xfId="0" applyFill="1" applyAlignment="1">
      <alignment horizontal="center" wrapText="1"/>
    </xf>
    <xf numFmtId="0" fontId="0" fillId="0" borderId="6" xfId="0" applyBorder="1"/>
    <xf numFmtId="0" fontId="0" fillId="0" borderId="10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2" fillId="0" borderId="13" xfId="0" applyFont="1" applyBorder="1" applyAlignment="1">
      <alignment horizontal="center" wrapText="1"/>
    </xf>
    <xf numFmtId="0" fontId="2" fillId="0" borderId="10" xfId="0" applyFont="1" applyBorder="1" applyAlignment="1">
      <alignment horizontal="center" wrapText="1"/>
    </xf>
    <xf numFmtId="0" fontId="2" fillId="0" borderId="9" xfId="0" applyFont="1" applyBorder="1" applyAlignment="1">
      <alignment horizontal="center" wrapText="1"/>
    </xf>
    <xf numFmtId="0" fontId="0" fillId="19" borderId="0" xfId="0" applyFill="1" applyAlignment="1">
      <alignment wrapText="1"/>
    </xf>
    <xf numFmtId="0" fontId="0" fillId="19" borderId="0" xfId="0" applyFill="1" applyAlignment="1">
      <alignment horizontal="center" wrapText="1"/>
    </xf>
    <xf numFmtId="0" fontId="0" fillId="13" borderId="0" xfId="0" applyFill="1" applyAlignment="1">
      <alignment wrapText="1"/>
    </xf>
    <xf numFmtId="0" fontId="0" fillId="13" borderId="0" xfId="0" applyFill="1" applyAlignment="1">
      <alignment horizontal="center" wrapText="1"/>
    </xf>
    <xf numFmtId="0" fontId="0" fillId="5" borderId="0" xfId="0" applyFill="1"/>
    <xf numFmtId="0" fontId="2" fillId="1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wrapText="1"/>
    </xf>
    <xf numFmtId="0" fontId="0" fillId="2" borderId="4" xfId="0" applyFill="1" applyBorder="1"/>
    <xf numFmtId="0" fontId="0" fillId="15" borderId="1" xfId="0" applyFill="1" applyBorder="1" applyAlignment="1">
      <alignment horizontal="center"/>
    </xf>
    <xf numFmtId="0" fontId="0" fillId="2" borderId="1" xfId="0" applyFill="1" applyBorder="1" applyAlignment="1">
      <alignment wrapText="1"/>
    </xf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11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0" borderId="16" xfId="0" applyBorder="1"/>
    <xf numFmtId="0" fontId="0" fillId="15" borderId="0" xfId="0" applyFill="1"/>
    <xf numFmtId="0" fontId="2" fillId="25" borderId="18" xfId="0" applyFont="1" applyFill="1" applyBorder="1"/>
    <xf numFmtId="0" fontId="0" fillId="15" borderId="13" xfId="0" applyFill="1" applyBorder="1" applyAlignment="1">
      <alignment horizontal="center"/>
    </xf>
    <xf numFmtId="0" fontId="2" fillId="15" borderId="10" xfId="0" applyFont="1" applyFill="1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27" borderId="1" xfId="0" applyFill="1" applyBorder="1"/>
    <xf numFmtId="0" fontId="2" fillId="0" borderId="17" xfId="0" applyFont="1" applyBorder="1" applyAlignment="1">
      <alignment horizontal="center" wrapText="1"/>
    </xf>
    <xf numFmtId="0" fontId="2" fillId="15" borderId="18" xfId="0" applyFont="1" applyFill="1" applyBorder="1" applyAlignment="1">
      <alignment horizontal="center" wrapText="1"/>
    </xf>
    <xf numFmtId="0" fontId="0" fillId="15" borderId="19" xfId="0" applyFill="1" applyBorder="1"/>
    <xf numFmtId="0" fontId="0" fillId="15" borderId="20" xfId="0" applyFill="1" applyBorder="1"/>
    <xf numFmtId="0" fontId="0" fillId="15" borderId="21" xfId="0" applyFill="1" applyBorder="1"/>
    <xf numFmtId="0" fontId="0" fillId="15" borderId="22" xfId="0" applyFill="1" applyBorder="1"/>
    <xf numFmtId="0" fontId="0" fillId="28" borderId="1" xfId="0" applyFill="1" applyBorder="1"/>
    <xf numFmtId="0" fontId="2" fillId="0" borderId="4" xfId="0" applyFont="1" applyFill="1" applyBorder="1" applyAlignment="1">
      <alignment wrapText="1"/>
    </xf>
    <xf numFmtId="0" fontId="2" fillId="0" borderId="1" xfId="0" applyFont="1" applyFill="1" applyBorder="1" applyAlignment="1">
      <alignment wrapText="1"/>
    </xf>
    <xf numFmtId="0" fontId="0" fillId="0" borderId="1" xfId="0" applyFill="1" applyBorder="1"/>
    <xf numFmtId="0" fontId="0" fillId="0" borderId="23" xfId="0" applyBorder="1"/>
    <xf numFmtId="0" fontId="2" fillId="15" borderId="17" xfId="0" applyFont="1" applyFill="1" applyBorder="1" applyAlignment="1">
      <alignment horizontal="center" wrapText="1"/>
    </xf>
    <xf numFmtId="0" fontId="0" fillId="15" borderId="24" xfId="0" applyFill="1" applyBorder="1"/>
    <xf numFmtId="0" fontId="0" fillId="15" borderId="25" xfId="0" applyFill="1" applyBorder="1"/>
    <xf numFmtId="0" fontId="0" fillId="15" borderId="26" xfId="0" applyFill="1" applyBorder="1"/>
    <xf numFmtId="0" fontId="2" fillId="0" borderId="18" xfId="0" applyFont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0" fontId="0" fillId="29" borderId="20" xfId="0" applyFill="1" applyBorder="1"/>
    <xf numFmtId="0" fontId="0" fillId="10" borderId="15" xfId="0" applyFill="1" applyBorder="1"/>
    <xf numFmtId="0" fontId="0" fillId="15" borderId="4" xfId="0" applyFill="1" applyBorder="1" applyAlignment="1">
      <alignment wrapText="1"/>
    </xf>
    <xf numFmtId="0" fontId="0" fillId="15" borderId="4" xfId="0" applyFill="1" applyBorder="1"/>
    <xf numFmtId="0" fontId="2" fillId="5" borderId="4" xfId="0" applyFont="1" applyFill="1" applyBorder="1" applyAlignment="1">
      <alignment wrapText="1"/>
    </xf>
    <xf numFmtId="0" fontId="0" fillId="29" borderId="21" xfId="0" applyFill="1" applyBorder="1"/>
    <xf numFmtId="0" fontId="5" fillId="18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 wrapText="1"/>
    </xf>
    <xf numFmtId="0" fontId="0" fillId="14" borderId="0" xfId="0" applyFill="1"/>
    <xf numFmtId="0" fontId="5" fillId="14" borderId="0" xfId="0" applyFont="1" applyFill="1"/>
    <xf numFmtId="0" fontId="0" fillId="13" borderId="1" xfId="0" applyFont="1" applyFill="1" applyBorder="1" applyAlignment="1">
      <alignment wrapText="1"/>
    </xf>
    <xf numFmtId="0" fontId="0" fillId="13" borderId="1" xfId="0" applyFill="1" applyBorder="1" applyAlignment="1">
      <alignment wrapText="1"/>
    </xf>
    <xf numFmtId="0" fontId="0" fillId="10" borderId="4" xfId="0" applyFont="1" applyFill="1" applyBorder="1" applyAlignment="1">
      <alignment wrapText="1"/>
    </xf>
    <xf numFmtId="0" fontId="0" fillId="9" borderId="0" xfId="0" applyFill="1" applyBorder="1"/>
    <xf numFmtId="0" fontId="0" fillId="9" borderId="20" xfId="0" applyFill="1" applyBorder="1"/>
    <xf numFmtId="0" fontId="0" fillId="5" borderId="1" xfId="0" applyFill="1" applyBorder="1"/>
    <xf numFmtId="0" fontId="14" fillId="15" borderId="20" xfId="0" applyFont="1" applyFill="1" applyBorder="1"/>
    <xf numFmtId="0" fontId="7" fillId="9" borderId="0" xfId="0" applyFont="1" applyFill="1" applyBorder="1"/>
    <xf numFmtId="0" fontId="7" fillId="3" borderId="0" xfId="0" applyFont="1" applyFill="1" applyBorder="1"/>
    <xf numFmtId="164" fontId="5" fillId="18" borderId="1" xfId="1" applyNumberFormat="1" applyFont="1" applyFill="1" applyBorder="1" applyAlignment="1">
      <alignment horizontal="center"/>
    </xf>
    <xf numFmtId="4" fontId="0" fillId="0" borderId="0" xfId="0" applyNumberFormat="1" applyAlignment="1">
      <alignment wrapText="1"/>
    </xf>
    <xf numFmtId="4" fontId="0" fillId="0" borderId="0" xfId="0" applyNumberFormat="1"/>
    <xf numFmtId="2" fontId="0" fillId="2" borderId="0" xfId="0" applyNumberFormat="1" applyFill="1"/>
    <xf numFmtId="0" fontId="0" fillId="30" borderId="1" xfId="0" applyFill="1" applyBorder="1"/>
    <xf numFmtId="0" fontId="2" fillId="4" borderId="2" xfId="0" applyFont="1" applyFill="1" applyBorder="1" applyAlignment="1">
      <alignment wrapText="1"/>
    </xf>
    <xf numFmtId="0" fontId="0" fillId="10" borderId="14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 wrapText="1"/>
    </xf>
    <xf numFmtId="0" fontId="12" fillId="2" borderId="4" xfId="0" applyFont="1" applyFill="1" applyBorder="1" applyAlignment="1">
      <alignment horizontal="center" wrapText="1"/>
    </xf>
    <xf numFmtId="0" fontId="11" fillId="5" borderId="0" xfId="0" applyFont="1" applyFill="1" applyAlignment="1">
      <alignment horizontal="left" wrapText="1"/>
    </xf>
    <xf numFmtId="0" fontId="2" fillId="11" borderId="0" xfId="0" applyFont="1" applyFill="1" applyAlignment="1">
      <alignment horizontal="center"/>
    </xf>
    <xf numFmtId="0" fontId="2" fillId="17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18" borderId="0" xfId="0" applyFont="1" applyFill="1" applyAlignment="1">
      <alignment horizontal="center"/>
    </xf>
    <xf numFmtId="0" fontId="8" fillId="10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2" fillId="19" borderId="0" xfId="0" applyFon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2" fillId="16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16">
    <dxf>
      <fill>
        <patternFill>
          <bgColor rgb="FFD38583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D0FAFE"/>
      <color rgb="FFFFFF66"/>
      <color rgb="FFFFFF99"/>
      <color rgb="FFFF66FF"/>
      <color rgb="FF948B54"/>
      <color rgb="FFFFCC00"/>
      <color rgb="FFFF00FF"/>
      <color rgb="FFFF5050"/>
      <color rgb="FFD3858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17263113644521"/>
          <c:y val="0.0246798664662993"/>
          <c:w val="0.869941247227587"/>
          <c:h val="0.7528176938771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'STAFF TOTALS'!$C$4</c:f>
              <c:strCache>
                <c:ptCount val="1"/>
                <c:pt idx="0">
                  <c:v>TOTAL LOAD </c:v>
                </c:pt>
              </c:strCache>
            </c:strRef>
          </c:tx>
          <c:invertIfNegative val="0"/>
          <c:cat>
            <c:strRef>
              <c:f>'STAFF TOTALS'!$A$5:$A$24</c:f>
              <c:strCache>
                <c:ptCount val="20"/>
                <c:pt idx="0">
                  <c:v>Staff 1</c:v>
                </c:pt>
                <c:pt idx="1">
                  <c:v>Staff 2</c:v>
                </c:pt>
                <c:pt idx="2">
                  <c:v>Staff 3</c:v>
                </c:pt>
                <c:pt idx="3">
                  <c:v>Staff 4</c:v>
                </c:pt>
                <c:pt idx="4">
                  <c:v>Staff 5</c:v>
                </c:pt>
                <c:pt idx="5">
                  <c:v>Staff 6</c:v>
                </c:pt>
                <c:pt idx="6">
                  <c:v>Staff 7</c:v>
                </c:pt>
                <c:pt idx="7">
                  <c:v>Staff 8</c:v>
                </c:pt>
                <c:pt idx="8">
                  <c:v>Staff 9</c:v>
                </c:pt>
                <c:pt idx="9">
                  <c:v>Staff 10</c:v>
                </c:pt>
                <c:pt idx="10">
                  <c:v>Staff 11</c:v>
                </c:pt>
                <c:pt idx="11">
                  <c:v>Staff 12</c:v>
                </c:pt>
                <c:pt idx="12">
                  <c:v>Staff 13</c:v>
                </c:pt>
                <c:pt idx="13">
                  <c:v>Staff 14</c:v>
                </c:pt>
                <c:pt idx="14">
                  <c:v>Staff 15</c:v>
                </c:pt>
                <c:pt idx="15">
                  <c:v>Staff 16</c:v>
                </c:pt>
                <c:pt idx="16">
                  <c:v>Staff 17</c:v>
                </c:pt>
                <c:pt idx="17">
                  <c:v>Staff 18</c:v>
                </c:pt>
                <c:pt idx="18">
                  <c:v>Staff 19</c:v>
                </c:pt>
                <c:pt idx="19">
                  <c:v>Staff 20</c:v>
                </c:pt>
              </c:strCache>
            </c:strRef>
          </c:cat>
          <c:val>
            <c:numRef>
              <c:f>'STAFF TOTALS'!$C$5:$C$24</c:f>
              <c:numCache>
                <c:formatCode>General</c:formatCode>
                <c:ptCount val="20"/>
                <c:pt idx="0">
                  <c:v>827.6500000000001</c:v>
                </c:pt>
                <c:pt idx="1">
                  <c:v>1663.3</c:v>
                </c:pt>
                <c:pt idx="2">
                  <c:v>2590.9</c:v>
                </c:pt>
                <c:pt idx="3">
                  <c:v>1801.95</c:v>
                </c:pt>
                <c:pt idx="4">
                  <c:v>1718.25</c:v>
                </c:pt>
                <c:pt idx="5">
                  <c:v>1636.7</c:v>
                </c:pt>
                <c:pt idx="6">
                  <c:v>1126.575</c:v>
                </c:pt>
                <c:pt idx="7">
                  <c:v>1288.725</c:v>
                </c:pt>
                <c:pt idx="8">
                  <c:v>1675.2</c:v>
                </c:pt>
                <c:pt idx="9">
                  <c:v>1933.6</c:v>
                </c:pt>
                <c:pt idx="10">
                  <c:v>1659.75</c:v>
                </c:pt>
                <c:pt idx="11">
                  <c:v>1487.05</c:v>
                </c:pt>
                <c:pt idx="12">
                  <c:v>1743.9</c:v>
                </c:pt>
                <c:pt idx="13">
                  <c:v>1704.9</c:v>
                </c:pt>
                <c:pt idx="14">
                  <c:v>1809.7</c:v>
                </c:pt>
                <c:pt idx="15">
                  <c:v>2034.8</c:v>
                </c:pt>
                <c:pt idx="16">
                  <c:v>1864.9</c:v>
                </c:pt>
                <c:pt idx="17">
                  <c:v>1201.125</c:v>
                </c:pt>
                <c:pt idx="18">
                  <c:v>1840.1</c:v>
                </c:pt>
                <c:pt idx="19">
                  <c:v>1178.0</c:v>
                </c:pt>
              </c:numCache>
            </c:numRef>
          </c:val>
        </c:ser>
        <c:ser>
          <c:idx val="1"/>
          <c:order val="1"/>
          <c:tx>
            <c:strRef>
              <c:f>'STAFF TOTALS'!$N$4</c:f>
              <c:strCache>
                <c:ptCount val="1"/>
                <c:pt idx="0">
                  <c:v>Target</c:v>
                </c:pt>
              </c:strCache>
            </c:strRef>
          </c:tx>
          <c:invertIfNegative val="0"/>
          <c:cat>
            <c:strRef>
              <c:f>'STAFF TOTALS'!$A$5:$A$24</c:f>
              <c:strCache>
                <c:ptCount val="20"/>
                <c:pt idx="0">
                  <c:v>Staff 1</c:v>
                </c:pt>
                <c:pt idx="1">
                  <c:v>Staff 2</c:v>
                </c:pt>
                <c:pt idx="2">
                  <c:v>Staff 3</c:v>
                </c:pt>
                <c:pt idx="3">
                  <c:v>Staff 4</c:v>
                </c:pt>
                <c:pt idx="4">
                  <c:v>Staff 5</c:v>
                </c:pt>
                <c:pt idx="5">
                  <c:v>Staff 6</c:v>
                </c:pt>
                <c:pt idx="6">
                  <c:v>Staff 7</c:v>
                </c:pt>
                <c:pt idx="7">
                  <c:v>Staff 8</c:v>
                </c:pt>
                <c:pt idx="8">
                  <c:v>Staff 9</c:v>
                </c:pt>
                <c:pt idx="9">
                  <c:v>Staff 10</c:v>
                </c:pt>
                <c:pt idx="10">
                  <c:v>Staff 11</c:v>
                </c:pt>
                <c:pt idx="11">
                  <c:v>Staff 12</c:v>
                </c:pt>
                <c:pt idx="12">
                  <c:v>Staff 13</c:v>
                </c:pt>
                <c:pt idx="13">
                  <c:v>Staff 14</c:v>
                </c:pt>
                <c:pt idx="14">
                  <c:v>Staff 15</c:v>
                </c:pt>
                <c:pt idx="15">
                  <c:v>Staff 16</c:v>
                </c:pt>
                <c:pt idx="16">
                  <c:v>Staff 17</c:v>
                </c:pt>
                <c:pt idx="17">
                  <c:v>Staff 18</c:v>
                </c:pt>
                <c:pt idx="18">
                  <c:v>Staff 19</c:v>
                </c:pt>
                <c:pt idx="19">
                  <c:v>Staff 20</c:v>
                </c:pt>
              </c:strCache>
            </c:strRef>
          </c:cat>
          <c:val>
            <c:numRef>
              <c:f>'STAFF TOTALS'!$N$5:$N$24</c:f>
              <c:numCache>
                <c:formatCode>General</c:formatCode>
                <c:ptCount val="20"/>
                <c:pt idx="0">
                  <c:v>517.5</c:v>
                </c:pt>
                <c:pt idx="1">
                  <c:v>1725.0</c:v>
                </c:pt>
                <c:pt idx="2">
                  <c:v>1725.0</c:v>
                </c:pt>
                <c:pt idx="3">
                  <c:v>1725.0</c:v>
                </c:pt>
                <c:pt idx="4">
                  <c:v>1725.0</c:v>
                </c:pt>
                <c:pt idx="5">
                  <c:v>1725.0</c:v>
                </c:pt>
                <c:pt idx="6">
                  <c:v>983.2499999999999</c:v>
                </c:pt>
                <c:pt idx="7">
                  <c:v>1237.5</c:v>
                </c:pt>
                <c:pt idx="8">
                  <c:v>1725.0</c:v>
                </c:pt>
                <c:pt idx="9">
                  <c:v>1725.0</c:v>
                </c:pt>
                <c:pt idx="10">
                  <c:v>1725.0</c:v>
                </c:pt>
                <c:pt idx="11">
                  <c:v>1725.0</c:v>
                </c:pt>
                <c:pt idx="12">
                  <c:v>1725.0</c:v>
                </c:pt>
                <c:pt idx="13">
                  <c:v>1725.0</c:v>
                </c:pt>
                <c:pt idx="14">
                  <c:v>1725.0</c:v>
                </c:pt>
                <c:pt idx="15">
                  <c:v>1725.0</c:v>
                </c:pt>
                <c:pt idx="16">
                  <c:v>1725.0</c:v>
                </c:pt>
                <c:pt idx="17">
                  <c:v>1293.75</c:v>
                </c:pt>
                <c:pt idx="18">
                  <c:v>1725.0</c:v>
                </c:pt>
                <c:pt idx="19">
                  <c:v>1345.5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04645392"/>
        <c:axId val="-804641312"/>
      </c:barChart>
      <c:catAx>
        <c:axId val="-80464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804641312"/>
        <c:crosses val="autoZero"/>
        <c:auto val="1"/>
        <c:lblAlgn val="ctr"/>
        <c:lblOffset val="100"/>
        <c:noMultiLvlLbl val="0"/>
      </c:catAx>
      <c:valAx>
        <c:axId val="-80464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804645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4" l="0.700000000000001" r="0.700000000000001" t="0.750000000000004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School of IT Workload Estimates 2012 v12.xlsm]Pivots!PivotTable1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Pivots!$B$3:$B$4</c:f>
              <c:strCache>
                <c:ptCount val="1"/>
                <c:pt idx="0">
                  <c:v>N1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ICT231</c:v>
                </c:pt>
                <c:pt idx="1">
                  <c:v>ICT353</c:v>
                </c:pt>
                <c:pt idx="2">
                  <c:v>ICT477</c:v>
                </c:pt>
                <c:pt idx="3">
                  <c:v>ICT531</c:v>
                </c:pt>
                <c:pt idx="4">
                  <c:v>ICT532</c:v>
                </c:pt>
                <c:pt idx="5">
                  <c:v>ICT650</c:v>
                </c:pt>
              </c:strCache>
            </c:strRef>
          </c:cat>
          <c:val>
            <c:numRef>
              <c:f>Pivots!$B$5:$B$11</c:f>
              <c:numCache>
                <c:formatCode>General</c:formatCode>
                <c:ptCount val="6"/>
                <c:pt idx="0" formatCode="0">
                  <c:v>47.0</c:v>
                </c:pt>
              </c:numCache>
            </c:numRef>
          </c:val>
        </c:ser>
        <c:ser>
          <c:idx val="1"/>
          <c:order val="1"/>
          <c:tx>
            <c:strRef>
              <c:f>Pivots!$C$3:$C$4</c:f>
              <c:strCache>
                <c:ptCount val="1"/>
                <c:pt idx="0">
                  <c:v>N2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ICT231</c:v>
                </c:pt>
                <c:pt idx="1">
                  <c:v>ICT353</c:v>
                </c:pt>
                <c:pt idx="2">
                  <c:v>ICT477</c:v>
                </c:pt>
                <c:pt idx="3">
                  <c:v>ICT531</c:v>
                </c:pt>
                <c:pt idx="4">
                  <c:v>ICT532</c:v>
                </c:pt>
                <c:pt idx="5">
                  <c:v>ICT650</c:v>
                </c:pt>
              </c:strCache>
            </c:strRef>
          </c:cat>
          <c:val>
            <c:numRef>
              <c:f>Pivots!$C$5:$C$11</c:f>
              <c:numCache>
                <c:formatCode>0</c:formatCode>
                <c:ptCount val="6"/>
                <c:pt idx="1">
                  <c:v>41.0</c:v>
                </c:pt>
              </c:numCache>
            </c:numRef>
          </c:val>
        </c:ser>
        <c:ser>
          <c:idx val="2"/>
          <c:order val="2"/>
          <c:tx>
            <c:strRef>
              <c:f>Pivots!$D$3:$D$4</c:f>
              <c:strCache>
                <c:ptCount val="1"/>
                <c:pt idx="0">
                  <c:v>S1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ICT231</c:v>
                </c:pt>
                <c:pt idx="1">
                  <c:v>ICT353</c:v>
                </c:pt>
                <c:pt idx="2">
                  <c:v>ICT477</c:v>
                </c:pt>
                <c:pt idx="3">
                  <c:v>ICT531</c:v>
                </c:pt>
                <c:pt idx="4">
                  <c:v>ICT532</c:v>
                </c:pt>
                <c:pt idx="5">
                  <c:v>ICT650</c:v>
                </c:pt>
              </c:strCache>
            </c:strRef>
          </c:cat>
          <c:val>
            <c:numRef>
              <c:f>Pivots!$D$5:$D$11</c:f>
              <c:numCache>
                <c:formatCode>General</c:formatCode>
                <c:ptCount val="6"/>
                <c:pt idx="0" formatCode="0">
                  <c:v>241.0</c:v>
                </c:pt>
                <c:pt idx="2" formatCode="0">
                  <c:v>6.300000000000001</c:v>
                </c:pt>
                <c:pt idx="3" formatCode="0">
                  <c:v>4.2</c:v>
                </c:pt>
                <c:pt idx="5" formatCode="0">
                  <c:v>186.5</c:v>
                </c:pt>
              </c:numCache>
            </c:numRef>
          </c:val>
        </c:ser>
        <c:ser>
          <c:idx val="3"/>
          <c:order val="3"/>
          <c:tx>
            <c:strRef>
              <c:f>Pivots!$E$3:$E$4</c:f>
              <c:strCache>
                <c:ptCount val="1"/>
                <c:pt idx="0">
                  <c:v>S2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ICT231</c:v>
                </c:pt>
                <c:pt idx="1">
                  <c:v>ICT353</c:v>
                </c:pt>
                <c:pt idx="2">
                  <c:v>ICT477</c:v>
                </c:pt>
                <c:pt idx="3">
                  <c:v>ICT531</c:v>
                </c:pt>
                <c:pt idx="4">
                  <c:v>ICT532</c:v>
                </c:pt>
                <c:pt idx="5">
                  <c:v>ICT650</c:v>
                </c:pt>
              </c:strCache>
            </c:strRef>
          </c:cat>
          <c:val>
            <c:numRef>
              <c:f>Pivots!$E$5:$E$11</c:f>
              <c:numCache>
                <c:formatCode>0</c:formatCode>
                <c:ptCount val="6"/>
                <c:pt idx="1">
                  <c:v>195.6</c:v>
                </c:pt>
                <c:pt idx="4">
                  <c:v>8.4</c:v>
                </c:pt>
              </c:numCache>
            </c:numRef>
          </c:val>
        </c:ser>
        <c:ser>
          <c:idx val="4"/>
          <c:order val="4"/>
          <c:tx>
            <c:strRef>
              <c:f>Pivots!$F$3:$F$4</c:f>
              <c:strCache>
                <c:ptCount val="1"/>
                <c:pt idx="0">
                  <c:v>T1A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ICT231</c:v>
                </c:pt>
                <c:pt idx="1">
                  <c:v>ICT353</c:v>
                </c:pt>
                <c:pt idx="2">
                  <c:v>ICT477</c:v>
                </c:pt>
                <c:pt idx="3">
                  <c:v>ICT531</c:v>
                </c:pt>
                <c:pt idx="4">
                  <c:v>ICT532</c:v>
                </c:pt>
                <c:pt idx="5">
                  <c:v>ICT650</c:v>
                </c:pt>
              </c:strCache>
            </c:strRef>
          </c:cat>
          <c:val>
            <c:numRef>
              <c:f>Pivots!$F$5:$F$11</c:f>
              <c:numCache>
                <c:formatCode>0</c:formatCode>
                <c:ptCount val="6"/>
                <c:pt idx="0">
                  <c:v>59.0</c:v>
                </c:pt>
                <c:pt idx="1">
                  <c:v>59.0</c:v>
                </c:pt>
              </c:numCache>
            </c:numRef>
          </c:val>
        </c:ser>
        <c:ser>
          <c:idx val="5"/>
          <c:order val="5"/>
          <c:tx>
            <c:strRef>
              <c:f>Pivots!$G$3:$G$4</c:f>
              <c:strCache>
                <c:ptCount val="1"/>
                <c:pt idx="0">
                  <c:v>T1B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ICT231</c:v>
                </c:pt>
                <c:pt idx="1">
                  <c:v>ICT353</c:v>
                </c:pt>
                <c:pt idx="2">
                  <c:v>ICT477</c:v>
                </c:pt>
                <c:pt idx="3">
                  <c:v>ICT531</c:v>
                </c:pt>
                <c:pt idx="4">
                  <c:v>ICT532</c:v>
                </c:pt>
                <c:pt idx="5">
                  <c:v>ICT650</c:v>
                </c:pt>
              </c:strCache>
            </c:strRef>
          </c:cat>
          <c:val>
            <c:numRef>
              <c:f>Pivots!$G$5:$G$11</c:f>
              <c:numCache>
                <c:formatCode>General</c:formatCode>
                <c:ptCount val="6"/>
                <c:pt idx="0" formatCode="0">
                  <c:v>59.0</c:v>
                </c:pt>
              </c:numCache>
            </c:numRef>
          </c:val>
        </c:ser>
        <c:ser>
          <c:idx val="6"/>
          <c:order val="6"/>
          <c:tx>
            <c:strRef>
              <c:f>Pivots!$H$3:$H$4</c:f>
              <c:strCache>
                <c:ptCount val="1"/>
                <c:pt idx="0">
                  <c:v>T2A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ICT231</c:v>
                </c:pt>
                <c:pt idx="1">
                  <c:v>ICT353</c:v>
                </c:pt>
                <c:pt idx="2">
                  <c:v>ICT477</c:v>
                </c:pt>
                <c:pt idx="3">
                  <c:v>ICT531</c:v>
                </c:pt>
                <c:pt idx="4">
                  <c:v>ICT532</c:v>
                </c:pt>
                <c:pt idx="5">
                  <c:v>ICT650</c:v>
                </c:pt>
              </c:strCache>
            </c:strRef>
          </c:cat>
          <c:val>
            <c:numRef>
              <c:f>Pivots!$H$5:$H$11</c:f>
              <c:numCache>
                <c:formatCode>General</c:formatCode>
                <c:ptCount val="6"/>
                <c:pt idx="0" formatCode="0">
                  <c:v>59.0</c:v>
                </c:pt>
              </c:numCache>
            </c:numRef>
          </c:val>
        </c:ser>
        <c:ser>
          <c:idx val="7"/>
          <c:order val="7"/>
          <c:tx>
            <c:strRef>
              <c:f>Pivots!$I$3:$I$4</c:f>
              <c:strCache>
                <c:ptCount val="1"/>
                <c:pt idx="0">
                  <c:v>T2B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ICT231</c:v>
                </c:pt>
                <c:pt idx="1">
                  <c:v>ICT353</c:v>
                </c:pt>
                <c:pt idx="2">
                  <c:v>ICT477</c:v>
                </c:pt>
                <c:pt idx="3">
                  <c:v>ICT531</c:v>
                </c:pt>
                <c:pt idx="4">
                  <c:v>ICT532</c:v>
                </c:pt>
                <c:pt idx="5">
                  <c:v>ICT650</c:v>
                </c:pt>
              </c:strCache>
            </c:strRef>
          </c:cat>
          <c:val>
            <c:numRef>
              <c:f>Pivots!$I$5:$I$11</c:f>
              <c:numCache>
                <c:formatCode>0</c:formatCode>
                <c:ptCount val="6"/>
                <c:pt idx="0">
                  <c:v>59.0</c:v>
                </c:pt>
                <c:pt idx="1">
                  <c:v>59.0</c:v>
                </c:pt>
              </c:numCache>
            </c:numRef>
          </c:val>
        </c:ser>
        <c:ser>
          <c:idx val="8"/>
          <c:order val="8"/>
          <c:tx>
            <c:strRef>
              <c:f>Pivots!$J$3:$J$4</c:f>
              <c:strCache>
                <c:ptCount val="1"/>
                <c:pt idx="0">
                  <c:v>T3A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ICT231</c:v>
                </c:pt>
                <c:pt idx="1">
                  <c:v>ICT353</c:v>
                </c:pt>
                <c:pt idx="2">
                  <c:v>ICT477</c:v>
                </c:pt>
                <c:pt idx="3">
                  <c:v>ICT531</c:v>
                </c:pt>
                <c:pt idx="4">
                  <c:v>ICT532</c:v>
                </c:pt>
                <c:pt idx="5">
                  <c:v>ICT650</c:v>
                </c:pt>
              </c:strCache>
            </c:strRef>
          </c:cat>
          <c:val>
            <c:numRef>
              <c:f>Pivots!$J$5:$J$11</c:f>
              <c:numCache>
                <c:formatCode>0</c:formatCode>
                <c:ptCount val="6"/>
                <c:pt idx="0">
                  <c:v>59.0</c:v>
                </c:pt>
                <c:pt idx="1">
                  <c:v>59.0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04739888"/>
        <c:axId val="-804800000"/>
      </c:barChart>
      <c:catAx>
        <c:axId val="-804739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804800000"/>
        <c:crosses val="autoZero"/>
        <c:auto val="1"/>
        <c:lblAlgn val="ctr"/>
        <c:lblOffset val="100"/>
        <c:noMultiLvlLbl val="0"/>
      </c:catAx>
      <c:valAx>
        <c:axId val="-8048000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-804739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" l="0.700000000000001" r="0.700000000000001" t="0.750000000000002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251011</xdr:colOff>
      <xdr:row>26</xdr:row>
      <xdr:rowOff>97489</xdr:rowOff>
    </xdr:from>
    <xdr:to>
      <xdr:col>14</xdr:col>
      <xdr:colOff>1428750</xdr:colOff>
      <xdr:row>51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152399</xdr:colOff>
      <xdr:row>19</xdr:row>
      <xdr:rowOff>47624</xdr:rowOff>
    </xdr:from>
    <xdr:to>
      <xdr:col>7</xdr:col>
      <xdr:colOff>276225</xdr:colOff>
      <xdr:row>37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840343J" refreshedDate="40806.809753819442" createdVersion="3" refreshedVersion="3" minRefreshableVersion="3" recordCount="297">
  <cacheSource type="worksheet">
    <worksheetSource ref="D2:Z267" sheet="OFFERINGS"/>
  </cacheSource>
  <cacheFields count="23">
    <cacheField name="Unit code" numFmtId="0">
      <sharedItems containsBlank="1" count="72">
        <s v="ICT101"/>
        <s v="ICT102"/>
        <s v="ICT103"/>
        <s v="ICT104"/>
        <s v="ICT105"/>
        <s v="ICT106"/>
        <s v="ICT107"/>
        <s v="ICT108"/>
        <s v="ICT120"/>
        <s v="ICT207"/>
        <s v="ICT208"/>
        <s v="ICT209"/>
        <s v="ICT211"/>
        <s v="ICT215"/>
        <s v="ICT218"/>
        <s v="ICT219"/>
        <s v="ICT231"/>
        <s v="ICT239"/>
        <s v="ICT241"/>
        <s v="ICT245"/>
        <s v="ICT248"/>
        <s v="ICT256"/>
        <s v="ICT264"/>
        <s v="ICT265"/>
        <s v="ICT306"/>
        <s v="ICT309"/>
        <s v="ICT310"/>
        <s v="ICT311"/>
        <s v="ICT312"/>
        <s v="ICT313"/>
        <s v="ICT325"/>
        <s v="ICT333"/>
        <s v="ICT336"/>
        <s v="ICT338"/>
        <s v="ICT339"/>
        <s v="ICT344"/>
        <s v="ICT347"/>
        <s v="ICT349"/>
        <s v="ICT353"/>
        <s v="ICT357"/>
        <s v="ICT362"/>
        <s v="ICT363"/>
        <s v="ICT477"/>
        <s v="ICT518"/>
        <s v="ICT521"/>
        <s v="ICT531"/>
        <s v="ICT532"/>
        <s v="ICT535"/>
        <s v="ICT539"/>
        <s v="ICT546"/>
        <s v="ICT548"/>
        <s v="ICT556"/>
        <s v="ICT557"/>
        <s v="ICT564"/>
        <s v="ICT565"/>
        <s v="ICT612"/>
        <s v="ICT616"/>
        <s v="ICT617"/>
        <s v="ICT618"/>
        <s v="ICT619"/>
        <s v="ICT622"/>
        <s v="ICT638"/>
        <s v="ICT644"/>
        <s v="ICT647"/>
        <s v="ICT649"/>
        <s v="ICT650"/>
        <s v="ICT663"/>
        <s v="ICT672"/>
        <s v="WKP356"/>
        <s v="FDN107"/>
        <s v="OPTR220"/>
        <m/>
      </sharedItems>
    </cacheField>
    <cacheField name="Unit Name" numFmtId="0">
      <sharedItems containsBlank="1"/>
    </cacheField>
    <cacheField name="Teaching Period" numFmtId="0">
      <sharedItems containsBlank="1" count="14">
        <s v="S2"/>
        <s v="S1"/>
        <s v="N1"/>
        <s v="N2"/>
        <s v="S1K"/>
        <s v="T1A"/>
        <s v="T2A"/>
        <s v="T3A"/>
        <s v="T3B"/>
        <s v="T1B"/>
        <s v="T2B"/>
        <s v="OUA-2"/>
        <s v="OUA-3"/>
        <m/>
      </sharedItems>
    </cacheField>
    <cacheField name="Location" numFmtId="0">
      <sharedItems containsBlank="1" count="9">
        <s v="Murdoch"/>
        <s v="Rockingham"/>
        <s v="Dubai"/>
        <s v="Peel"/>
        <s v="KDUPJ"/>
        <s v="Kaplan"/>
        <s v="SGP1"/>
        <s v="OUA"/>
        <m/>
      </sharedItems>
    </cacheField>
    <cacheField name="Mode" numFmtId="0">
      <sharedItems containsBlank="1"/>
    </cacheField>
    <cacheField name="Teaching Pattern" numFmtId="0">
      <sharedItems containsBlank="1"/>
    </cacheField>
    <cacheField name="Default no. students per tutorial/ group" numFmtId="0">
      <sharedItems containsString="0" containsBlank="1" containsNumber="1" containsInteger="1" minValue="0" maxValue="20"/>
    </cacheField>
    <cacheField name="Projected Enrolments" numFmtId="0">
      <sharedItems containsString="0" containsBlank="1" containsNumber="1" containsInteger="1" minValue="2" maxValue="300"/>
    </cacheField>
    <cacheField name="Base hours" numFmtId="0">
      <sharedItems containsString="0" containsBlank="1" containsNumber="1" containsInteger="1" minValue="0" maxValue="164"/>
    </cacheField>
    <cacheField name="Per tutorial multiplier" numFmtId="0">
      <sharedItems containsString="0" containsBlank="1" containsNumber="1" minValue="0" maxValue="66"/>
    </cacheField>
    <cacheField name="Per student multiplier" numFmtId="0">
      <sharedItems containsString="0" containsBlank="1" containsNumber="1" minValue="0.2" maxValue="2.1"/>
    </cacheField>
    <cacheField name="Number of tutorials/ groups required" numFmtId="0">
      <sharedItems containsString="0" containsBlank="1" containsNumber="1" containsInteger="1" minValue="0" maxValue="20"/>
    </cacheField>
    <cacheField name="Total workload for offering" numFmtId="0">
      <sharedItems containsString="0" containsBlank="1" containsNumber="1" minValue="0" maxValue="833"/>
    </cacheField>
    <cacheField name="Coordinator name " numFmtId="0">
      <sharedItems containsBlank="1" count="21">
        <s v="Shiratuddin, Fairuz"/>
        <s v="Payne, Christian"/>
        <s v="Murray, David"/>
        <s v="Kenworthy, Bill"/>
        <s v="Dhillon, Pyara"/>
        <s v="Armarego, Jocelyn"/>
        <s v="0 - Unallocated"/>
        <s v="z - Cancelled"/>
        <s v="Lee, Kevin"/>
        <s v="Hobbs, Val"/>
        <s v="Wong, Kevin"/>
        <s v="Koziniec, Terry"/>
        <s v="Rai, Shri"/>
        <s v="Toohey, Danny"/>
        <s v="Xie, Hong"/>
        <s v="Mann, Graham"/>
        <s v="McGill, Tanya"/>
        <s v="Boddington, Richard"/>
        <s v="Cole, Peter"/>
        <s v="Dixon, Mike"/>
        <m/>
      </sharedItems>
    </cacheField>
    <cacheField name="Coordination (base+per student)" numFmtId="0">
      <sharedItems containsString="0" containsBlank="1" containsNumber="1" minValue="0" maxValue="259.60000000000002"/>
    </cacheField>
    <cacheField name="Coordinator tutorials/ groups" numFmtId="0">
      <sharedItems containsString="0" containsBlank="1" containsNumber="1" containsInteger="1" minValue="1" maxValue="1"/>
    </cacheField>
    <cacheField name="Coordinator workload this offering" numFmtId="0">
      <sharedItems containsString="0" containsBlank="1" containsNumber="1" minValue="0" maxValue="259.60000000000002"/>
    </cacheField>
    <cacheField name="Workload left for casual/other staff" numFmtId="0">
      <sharedItems containsString="0" containsBlank="1" containsNumber="1" minValue="0" maxValue="720"/>
    </cacheField>
    <cacheField name="Number of tutorials/ groups to other staff" numFmtId="0">
      <sharedItems containsString="0" containsBlank="1" containsNumber="1" containsInteger="1" minValue="1" maxValue="5"/>
    </cacheField>
    <cacheField name="Names of other staff involved (list them for reference)" numFmtId="0">
      <sharedItems containsNonDate="0" containsString="0" containsBlank="1"/>
    </cacheField>
    <cacheField name="Number of tutorials/ groups to Casuals" numFmtId="0">
      <sharedItems containsString="0" containsBlank="1" containsNumber="1" containsInteger="1" minValue="4" maxValue="5"/>
    </cacheField>
    <cacheField name="WORKLOAD HOURS REMAINING TO FILL" numFmtId="0">
      <sharedItems containsString="0" containsBlank="1" containsNumber="1" minValue="0" maxValue="720"/>
    </cacheField>
    <cacheField name="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7">
  <r>
    <x v="0"/>
    <s v="Introduction to 3D Graphics and Animation"/>
    <x v="0"/>
    <x v="0"/>
    <s v="D"/>
    <s v="LT9"/>
    <n v="15"/>
    <n v="74"/>
    <n v="163"/>
    <n v="46.5"/>
    <n v="0.7"/>
    <n v="5"/>
    <n v="447.3"/>
    <x v="0"/>
    <n v="214.8"/>
    <m/>
    <n v="214.8"/>
    <n v="232.5"/>
    <m/>
    <m/>
    <n v="5"/>
    <n v="0"/>
    <m/>
  </r>
  <r>
    <x v="0"/>
    <s v="Introduction to 3D Graphics and Animation"/>
    <x v="0"/>
    <x v="0"/>
    <s v="X"/>
    <s v="LT2"/>
    <n v="15"/>
    <n v="10"/>
    <n v="2"/>
    <n v="22.5"/>
    <n v="0.6"/>
    <n v="1"/>
    <n v="30.5"/>
    <x v="0"/>
    <n v="8"/>
    <m/>
    <n v="8"/>
    <n v="22.5"/>
    <m/>
    <m/>
    <m/>
    <n v="22.5"/>
    <m/>
  </r>
  <r>
    <x v="1"/>
    <s v="Introduction to Computer Science"/>
    <x v="1"/>
    <x v="0"/>
    <s v="D"/>
    <s v="LT9"/>
    <n v="15"/>
    <n v="104"/>
    <n v="163"/>
    <n v="46.5"/>
    <n v="0.7"/>
    <n v="7"/>
    <n v="561.29999999999995"/>
    <x v="1"/>
    <n v="235.8"/>
    <m/>
    <n v="235.8"/>
    <n v="325.49999999999994"/>
    <m/>
    <m/>
    <m/>
    <n v="325.49999999999994"/>
    <m/>
  </r>
  <r>
    <x v="1"/>
    <s v="Introduction to Computer Science"/>
    <x v="1"/>
    <x v="0"/>
    <s v="X"/>
    <s v="LT2"/>
    <n v="15"/>
    <n v="17"/>
    <n v="2"/>
    <n v="22.5"/>
    <n v="0.6"/>
    <n v="2"/>
    <n v="57.2"/>
    <x v="1"/>
    <n v="12.2"/>
    <m/>
    <n v="12.2"/>
    <n v="45"/>
    <m/>
    <m/>
    <m/>
    <n v="45"/>
    <m/>
  </r>
  <r>
    <x v="1"/>
    <s v="Introduction to Computer Science"/>
    <x v="0"/>
    <x v="0"/>
    <s v="D"/>
    <s v="LT8"/>
    <n v="15"/>
    <n v="65"/>
    <n v="56"/>
    <n v="34.5"/>
    <n v="0.7"/>
    <n v="5"/>
    <n v="274"/>
    <x v="1"/>
    <n v="101.5"/>
    <m/>
    <n v="101.5"/>
    <n v="172.5"/>
    <m/>
    <m/>
    <m/>
    <n v="172.5"/>
    <m/>
  </r>
  <r>
    <x v="1"/>
    <s v="Introduction to Computer Science"/>
    <x v="0"/>
    <x v="0"/>
    <s v="X"/>
    <s v="LT2"/>
    <n v="15"/>
    <n v="15"/>
    <n v="2"/>
    <n v="22.5"/>
    <n v="0.6"/>
    <n v="1"/>
    <n v="33.5"/>
    <x v="1"/>
    <n v="11"/>
    <m/>
    <n v="11"/>
    <n v="22.5"/>
    <m/>
    <m/>
    <m/>
    <n v="22.5"/>
    <m/>
  </r>
  <r>
    <x v="1"/>
    <s v="Introduction to Computer Science"/>
    <x v="1"/>
    <x v="1"/>
    <s v="D"/>
    <s v="LT4"/>
    <n v="15"/>
    <n v="10"/>
    <n v="29"/>
    <n v="34.5"/>
    <n v="0.7"/>
    <n v="1"/>
    <n v="70.5"/>
    <x v="1"/>
    <n v="36"/>
    <m/>
    <n v="36"/>
    <n v="34.5"/>
    <m/>
    <m/>
    <m/>
    <n v="34.5"/>
    <m/>
  </r>
  <r>
    <x v="1"/>
    <s v="Introduction to Computer Science"/>
    <x v="2"/>
    <x v="2"/>
    <s v="D"/>
    <s v="LT6"/>
    <n v="0"/>
    <n v="20"/>
    <n v="35"/>
    <n v="0"/>
    <n v="0.6"/>
    <n v="0"/>
    <n v="47"/>
    <x v="1"/>
    <n v="47"/>
    <m/>
    <n v="47"/>
    <n v="0"/>
    <m/>
    <m/>
    <m/>
    <n v="0"/>
    <m/>
  </r>
  <r>
    <x v="1"/>
    <s v="Introduction to Computer Science"/>
    <x v="3"/>
    <x v="2"/>
    <s v="D"/>
    <s v="LT6"/>
    <n v="0"/>
    <n v="20"/>
    <n v="35"/>
    <n v="0"/>
    <n v="0.6"/>
    <n v="0"/>
    <n v="47"/>
    <x v="1"/>
    <n v="47"/>
    <m/>
    <n v="47"/>
    <n v="0"/>
    <m/>
    <m/>
    <m/>
    <n v="0"/>
    <m/>
  </r>
  <r>
    <x v="2"/>
    <s v="Introduction to Data Communication"/>
    <x v="1"/>
    <x v="0"/>
    <s v="D"/>
    <s v="LT9"/>
    <n v="15"/>
    <n v="100"/>
    <n v="163"/>
    <n v="46.5"/>
    <n v="0.7"/>
    <n v="7"/>
    <n v="558.5"/>
    <x v="2"/>
    <n v="233"/>
    <m/>
    <n v="233"/>
    <n v="325.5"/>
    <m/>
    <m/>
    <m/>
    <n v="325.5"/>
    <m/>
  </r>
  <r>
    <x v="2"/>
    <s v="Introduction to Data Communication"/>
    <x v="1"/>
    <x v="0"/>
    <s v="X"/>
    <s v="LT2"/>
    <n v="15"/>
    <n v="11"/>
    <n v="2"/>
    <n v="22.5"/>
    <n v="0.6"/>
    <n v="1"/>
    <n v="31.1"/>
    <x v="2"/>
    <n v="8.6"/>
    <m/>
    <n v="8.6"/>
    <n v="22.5"/>
    <m/>
    <m/>
    <m/>
    <n v="22.5"/>
    <m/>
  </r>
  <r>
    <x v="2"/>
    <s v="Introduction to Data Communication"/>
    <x v="0"/>
    <x v="0"/>
    <s v="D"/>
    <s v="LT8"/>
    <n v="15"/>
    <n v="43"/>
    <n v="56"/>
    <n v="34.5"/>
    <n v="0.7"/>
    <n v="3"/>
    <n v="189.6"/>
    <x v="3"/>
    <n v="86.1"/>
    <m/>
    <n v="86.1"/>
    <n v="103.5"/>
    <m/>
    <m/>
    <m/>
    <n v="103.5"/>
    <m/>
  </r>
  <r>
    <x v="2"/>
    <s v="Introduction to Data Communication"/>
    <x v="0"/>
    <x v="0"/>
    <s v="X"/>
    <s v="LT2"/>
    <n v="15"/>
    <n v="11"/>
    <n v="2"/>
    <n v="22.5"/>
    <n v="0.6"/>
    <n v="1"/>
    <n v="31.1"/>
    <x v="3"/>
    <n v="8.6"/>
    <m/>
    <n v="8.6"/>
    <n v="22.5"/>
    <m/>
    <m/>
    <m/>
    <n v="22.5"/>
    <m/>
  </r>
  <r>
    <x v="2"/>
    <s v="Introduction to Data Communication"/>
    <x v="3"/>
    <x v="2"/>
    <s v="D"/>
    <s v="LT6"/>
    <n v="0"/>
    <n v="20"/>
    <n v="35"/>
    <n v="0"/>
    <n v="0.6"/>
    <n v="0"/>
    <n v="47"/>
    <x v="2"/>
    <n v="47"/>
    <m/>
    <n v="47"/>
    <n v="0"/>
    <m/>
    <m/>
    <m/>
    <n v="0"/>
    <m/>
  </r>
  <r>
    <x v="2"/>
    <s v="Introduction to Data Communication"/>
    <x v="0"/>
    <x v="1"/>
    <s v="D"/>
    <s v="LT4"/>
    <n v="15"/>
    <n v="10"/>
    <n v="29"/>
    <n v="34.5"/>
    <n v="0.7"/>
    <n v="1"/>
    <n v="70.5"/>
    <x v="3"/>
    <n v="36"/>
    <m/>
    <n v="36"/>
    <n v="34.5"/>
    <m/>
    <m/>
    <m/>
    <n v="34.5"/>
    <m/>
  </r>
  <r>
    <x v="3"/>
    <s v="Principles of Computer Science"/>
    <x v="0"/>
    <x v="0"/>
    <s v="D"/>
    <s v="LT9"/>
    <n v="15"/>
    <n v="71"/>
    <n v="163"/>
    <n v="46.5"/>
    <n v="0.7"/>
    <n v="5"/>
    <n v="445.2"/>
    <x v="4"/>
    <n v="212.7"/>
    <m/>
    <n v="212.7"/>
    <n v="232.5"/>
    <m/>
    <m/>
    <m/>
    <n v="232.5"/>
    <m/>
  </r>
  <r>
    <x v="3"/>
    <s v="Principles of Computer Science"/>
    <x v="0"/>
    <x v="0"/>
    <s v="X"/>
    <s v="LT2"/>
    <n v="15"/>
    <n v="14"/>
    <n v="2"/>
    <n v="22.5"/>
    <n v="0.6"/>
    <n v="1"/>
    <n v="32.9"/>
    <x v="4"/>
    <n v="10.4"/>
    <m/>
    <n v="10.4"/>
    <n v="22.5"/>
    <m/>
    <m/>
    <m/>
    <n v="22.5"/>
    <m/>
  </r>
  <r>
    <x v="3"/>
    <s v="Principles of Computer Science"/>
    <x v="2"/>
    <x v="2"/>
    <s v="D"/>
    <s v="LT6"/>
    <n v="0"/>
    <n v="20"/>
    <n v="35"/>
    <n v="0"/>
    <n v="0.6"/>
    <n v="0"/>
    <n v="47"/>
    <x v="4"/>
    <n v="47"/>
    <m/>
    <n v="47"/>
    <n v="0"/>
    <m/>
    <m/>
    <m/>
    <n v="0"/>
    <m/>
  </r>
  <r>
    <x v="3"/>
    <s v="Principles of Computer Science"/>
    <x v="3"/>
    <x v="2"/>
    <s v="D"/>
    <s v="LT6"/>
    <n v="0"/>
    <n v="20"/>
    <n v="35"/>
    <n v="0"/>
    <n v="0.6"/>
    <n v="0"/>
    <n v="47"/>
    <x v="4"/>
    <n v="47"/>
    <m/>
    <n v="47"/>
    <n v="0"/>
    <m/>
    <m/>
    <m/>
    <n v="0"/>
    <m/>
  </r>
  <r>
    <x v="4"/>
    <s v="Introduction to Information Technology"/>
    <x v="1"/>
    <x v="0"/>
    <s v="D"/>
    <s v="LT9"/>
    <n v="15"/>
    <n v="138"/>
    <n v="163"/>
    <n v="46.5"/>
    <n v="0.7"/>
    <n v="10"/>
    <n v="724.6"/>
    <x v="5"/>
    <n v="259.60000000000002"/>
    <m/>
    <n v="259.60000000000002"/>
    <n v="465"/>
    <m/>
    <m/>
    <m/>
    <n v="465"/>
    <m/>
  </r>
  <r>
    <x v="4"/>
    <s v="Introduction to Information Technology"/>
    <x v="1"/>
    <x v="0"/>
    <s v="X"/>
    <s v="LT2"/>
    <n v="15"/>
    <n v="18"/>
    <n v="2"/>
    <n v="22.5"/>
    <n v="0.6"/>
    <n v="2"/>
    <n v="57.8"/>
    <x v="5"/>
    <n v="12.799999999999999"/>
    <m/>
    <n v="12.799999999999999"/>
    <n v="45"/>
    <m/>
    <m/>
    <m/>
    <n v="45"/>
    <m/>
  </r>
  <r>
    <x v="4"/>
    <s v="Introduction to Information Technology"/>
    <x v="0"/>
    <x v="0"/>
    <s v="X"/>
    <s v="LT3"/>
    <n v="15"/>
    <n v="37"/>
    <n v="28"/>
    <n v="22.5"/>
    <n v="0.6"/>
    <n v="3"/>
    <n v="117.7"/>
    <x v="6"/>
    <n v="0"/>
    <m/>
    <n v="0"/>
    <n v="117.7"/>
    <m/>
    <m/>
    <m/>
    <n v="117.7"/>
    <m/>
  </r>
  <r>
    <x v="4"/>
    <s v="Introduction to Information Technology"/>
    <x v="1"/>
    <x v="1"/>
    <s v="D"/>
    <s v="LT4"/>
    <n v="15"/>
    <n v="10"/>
    <n v="29"/>
    <n v="34.5"/>
    <n v="0.7"/>
    <n v="1"/>
    <n v="70.5"/>
    <x v="5"/>
    <n v="36"/>
    <m/>
    <n v="36"/>
    <n v="34.5"/>
    <m/>
    <m/>
    <m/>
    <n v="34.5"/>
    <m/>
  </r>
  <r>
    <x v="4"/>
    <s v="Introduction to Information Technology"/>
    <x v="1"/>
    <x v="3"/>
    <s v="D"/>
    <s v="LT4"/>
    <n v="15"/>
    <n v="10"/>
    <n v="29"/>
    <n v="34.5"/>
    <n v="0.7"/>
    <n v="1"/>
    <n v="0"/>
    <x v="7"/>
    <n v="0"/>
    <m/>
    <n v="0"/>
    <n v="0"/>
    <m/>
    <m/>
    <m/>
    <n v="0"/>
    <m/>
  </r>
  <r>
    <x v="4"/>
    <s v="Introduction to Information Technology"/>
    <x v="4"/>
    <x v="4"/>
    <s v="D"/>
    <s v="LT6"/>
    <n v="0"/>
    <n v="20"/>
    <n v="35"/>
    <n v="0"/>
    <n v="0.6"/>
    <n v="0"/>
    <n v="47"/>
    <x v="5"/>
    <n v="47"/>
    <m/>
    <n v="47"/>
    <n v="0"/>
    <m/>
    <m/>
    <m/>
    <n v="0"/>
    <m/>
  </r>
  <r>
    <x v="5"/>
    <s v="Fundamentals of Computer Systems"/>
    <x v="0"/>
    <x v="0"/>
    <s v="D"/>
    <s v="LT9"/>
    <n v="15"/>
    <n v="83"/>
    <n v="163"/>
    <n v="46.5"/>
    <n v="0.7"/>
    <n v="6"/>
    <n v="500.1"/>
    <x v="8"/>
    <n v="221.1"/>
    <m/>
    <n v="221.1"/>
    <n v="279"/>
    <m/>
    <m/>
    <m/>
    <n v="279"/>
    <m/>
  </r>
  <r>
    <x v="5"/>
    <s v="Fundamentals of Computer Systems"/>
    <x v="0"/>
    <x v="0"/>
    <s v="X"/>
    <s v="LT2"/>
    <n v="15"/>
    <n v="10"/>
    <n v="2"/>
    <n v="22.5"/>
    <n v="0.6"/>
    <n v="1"/>
    <n v="30.5"/>
    <x v="8"/>
    <n v="8"/>
    <m/>
    <n v="8"/>
    <n v="22.5"/>
    <m/>
    <m/>
    <m/>
    <n v="22.5"/>
    <m/>
  </r>
  <r>
    <x v="5"/>
    <s v="Fundamentals of Computer Systems"/>
    <x v="2"/>
    <x v="2"/>
    <s v="D"/>
    <s v="LT6"/>
    <n v="0"/>
    <n v="20"/>
    <n v="35"/>
    <n v="0"/>
    <n v="0.6"/>
    <n v="0"/>
    <n v="47"/>
    <x v="8"/>
    <n v="47"/>
    <m/>
    <n v="47"/>
    <n v="0"/>
    <m/>
    <m/>
    <m/>
    <n v="0"/>
    <m/>
  </r>
  <r>
    <x v="5"/>
    <s v="Fundamentals of Computer Systems"/>
    <x v="3"/>
    <x v="2"/>
    <s v="D"/>
    <s v="LT6"/>
    <n v="0"/>
    <n v="20"/>
    <n v="35"/>
    <n v="0"/>
    <n v="0.6"/>
    <n v="0"/>
    <n v="47"/>
    <x v="8"/>
    <n v="47"/>
    <m/>
    <n v="47"/>
    <n v="0"/>
    <m/>
    <m/>
    <m/>
    <n v="0"/>
    <m/>
  </r>
  <r>
    <x v="6"/>
    <s v="Principles of Information Systems"/>
    <x v="0"/>
    <x v="0"/>
    <s v="D"/>
    <s v="LT9"/>
    <n v="15"/>
    <n v="55"/>
    <n v="163"/>
    <n v="46.5"/>
    <n v="0.7"/>
    <n v="4"/>
    <n v="387.5"/>
    <x v="6"/>
    <n v="0"/>
    <m/>
    <n v="0"/>
    <n v="387.5"/>
    <m/>
    <m/>
    <m/>
    <n v="387.5"/>
    <m/>
  </r>
  <r>
    <x v="6"/>
    <s v="Principles of Information Systems"/>
    <x v="0"/>
    <x v="0"/>
    <s v="X"/>
    <s v="LT2"/>
    <n v="15"/>
    <n v="15"/>
    <n v="2"/>
    <n v="22.5"/>
    <n v="0.6"/>
    <n v="1"/>
    <n v="33.5"/>
    <x v="6"/>
    <n v="0"/>
    <m/>
    <n v="0"/>
    <n v="33.5"/>
    <m/>
    <m/>
    <m/>
    <n v="33.5"/>
    <m/>
  </r>
  <r>
    <x v="6"/>
    <s v="Principles of Information Systems"/>
    <x v="0"/>
    <x v="1"/>
    <s v="D"/>
    <s v="LT4"/>
    <n v="15"/>
    <n v="10"/>
    <n v="29"/>
    <n v="34.5"/>
    <n v="0.7"/>
    <n v="1"/>
    <n v="70.5"/>
    <x v="6"/>
    <n v="0"/>
    <m/>
    <n v="0"/>
    <n v="70.5"/>
    <m/>
    <m/>
    <m/>
    <n v="70.5"/>
    <m/>
  </r>
  <r>
    <x v="6"/>
    <s v="Principles of Information Systems"/>
    <x v="3"/>
    <x v="2"/>
    <s v="D"/>
    <s v="LT6"/>
    <n v="0"/>
    <n v="20"/>
    <n v="35"/>
    <n v="0"/>
    <n v="0.6"/>
    <n v="0"/>
    <n v="47"/>
    <x v="9"/>
    <n v="47"/>
    <m/>
    <n v="47"/>
    <n v="0"/>
    <m/>
    <m/>
    <m/>
    <n v="0"/>
    <m/>
  </r>
  <r>
    <x v="7"/>
    <s v="Introduction to Internet and Mobile Technologies"/>
    <x v="1"/>
    <x v="0"/>
    <s v="D"/>
    <s v="LT9"/>
    <n v="15"/>
    <n v="34"/>
    <n v="163"/>
    <n v="46.5"/>
    <n v="0.7"/>
    <n v="3"/>
    <n v="326.3"/>
    <x v="10"/>
    <n v="186.8"/>
    <m/>
    <n v="186.8"/>
    <n v="139.5"/>
    <m/>
    <m/>
    <m/>
    <n v="139.5"/>
    <m/>
  </r>
  <r>
    <x v="7"/>
    <s v="Introduction to Internet and Mobile Technologies"/>
    <x v="1"/>
    <x v="0"/>
    <s v="X"/>
    <s v="LT2"/>
    <n v="15"/>
    <n v="12"/>
    <n v="2"/>
    <n v="22.5"/>
    <n v="0.6"/>
    <n v="1"/>
    <n v="31.7"/>
    <x v="10"/>
    <n v="9.1999999999999993"/>
    <m/>
    <n v="9.1999999999999993"/>
    <n v="22.5"/>
    <m/>
    <m/>
    <m/>
    <n v="22.5"/>
    <m/>
  </r>
  <r>
    <x v="7"/>
    <s v="Introduction to Internet and Mobile Technologies"/>
    <x v="0"/>
    <x v="0"/>
    <s v="D"/>
    <s v="LT8"/>
    <n v="15"/>
    <n v="34"/>
    <n v="56"/>
    <n v="34.5"/>
    <n v="0.7"/>
    <n v="3"/>
    <n v="183.3"/>
    <x v="10"/>
    <n v="79.8"/>
    <m/>
    <n v="79.8"/>
    <n v="103.50000000000001"/>
    <m/>
    <m/>
    <m/>
    <n v="103.50000000000001"/>
    <m/>
  </r>
  <r>
    <x v="7"/>
    <s v="Introduction to Internet and Mobile Technologies"/>
    <x v="0"/>
    <x v="0"/>
    <s v="X"/>
    <s v="LT2"/>
    <n v="15"/>
    <n v="12"/>
    <n v="2"/>
    <n v="22.5"/>
    <n v="0.6"/>
    <n v="1"/>
    <n v="31.7"/>
    <x v="10"/>
    <n v="9.1999999999999993"/>
    <m/>
    <n v="9.1999999999999993"/>
    <n v="22.5"/>
    <m/>
    <m/>
    <m/>
    <n v="22.5"/>
    <m/>
  </r>
  <r>
    <x v="7"/>
    <s v="Introduction to Internet and Mobile Technologies"/>
    <x v="0"/>
    <x v="1"/>
    <s v="D"/>
    <s v="LT4"/>
    <n v="15"/>
    <n v="10"/>
    <n v="29"/>
    <n v="34.5"/>
    <n v="0.7"/>
    <n v="1"/>
    <n v="70.5"/>
    <x v="10"/>
    <n v="36"/>
    <m/>
    <n v="36"/>
    <n v="34.5"/>
    <m/>
    <m/>
    <m/>
    <n v="34.5"/>
    <m/>
  </r>
  <r>
    <x v="7"/>
    <s v="Introduction to Internet and Mobile Technologies"/>
    <x v="2"/>
    <x v="2"/>
    <s v="D"/>
    <s v="LT6"/>
    <n v="0"/>
    <n v="20"/>
    <n v="35"/>
    <n v="0"/>
    <n v="0.6"/>
    <n v="0"/>
    <n v="47"/>
    <x v="10"/>
    <n v="47"/>
    <m/>
    <n v="47"/>
    <n v="0"/>
    <m/>
    <m/>
    <m/>
    <n v="0"/>
    <m/>
  </r>
  <r>
    <x v="7"/>
    <s v="Introduction to Internet and Mobile Technologies"/>
    <x v="3"/>
    <x v="2"/>
    <s v="D"/>
    <s v="LT6"/>
    <n v="0"/>
    <n v="20"/>
    <n v="35"/>
    <n v="0"/>
    <n v="0.6"/>
    <n v="0"/>
    <n v="47"/>
    <x v="10"/>
    <n v="47"/>
    <m/>
    <n v="47"/>
    <n v="0"/>
    <m/>
    <m/>
    <m/>
    <n v="0"/>
    <m/>
  </r>
  <r>
    <x v="8"/>
    <s v="Principles of Data Communications"/>
    <x v="0"/>
    <x v="0"/>
    <s v="D"/>
    <s v="LT9"/>
    <n v="15"/>
    <n v="37"/>
    <n v="163"/>
    <n v="46.5"/>
    <n v="0.7"/>
    <n v="3"/>
    <n v="328.4"/>
    <x v="11"/>
    <n v="188.9"/>
    <m/>
    <n v="188.9"/>
    <n v="139.49999999999997"/>
    <m/>
    <m/>
    <m/>
    <n v="139.49999999999997"/>
    <m/>
  </r>
  <r>
    <x v="9"/>
    <s v="Games Design and Programming"/>
    <x v="0"/>
    <x v="0"/>
    <s v="D"/>
    <s v="LT1"/>
    <n v="15"/>
    <n v="15"/>
    <n v="164"/>
    <n v="34.5"/>
    <n v="0.7"/>
    <n v="1"/>
    <n v="209"/>
    <x v="12"/>
    <n v="174.5"/>
    <m/>
    <n v="174.5"/>
    <n v="34.5"/>
    <m/>
    <m/>
    <m/>
    <n v="34.5"/>
    <m/>
  </r>
  <r>
    <x v="9"/>
    <s v="Games Design and Programming"/>
    <x v="0"/>
    <x v="0"/>
    <s v="X"/>
    <s v="LT2"/>
    <n v="15"/>
    <n v="5"/>
    <n v="2"/>
    <n v="22.5"/>
    <n v="0.6"/>
    <n v="1"/>
    <n v="27.5"/>
    <x v="12"/>
    <n v="5"/>
    <m/>
    <n v="5"/>
    <n v="22.5"/>
    <m/>
    <m/>
    <m/>
    <n v="22.5"/>
    <m/>
  </r>
  <r>
    <x v="10"/>
    <s v="Business Intelligence Tools and Techniques"/>
    <x v="1"/>
    <x v="0"/>
    <s v="D"/>
    <s v="LT1"/>
    <n v="15"/>
    <n v="32"/>
    <n v="164"/>
    <n v="34.5"/>
    <n v="0.7"/>
    <n v="3"/>
    <n v="289.89999999999998"/>
    <x v="13"/>
    <n v="186.4"/>
    <m/>
    <n v="186.4"/>
    <n v="103.49999999999997"/>
    <m/>
    <m/>
    <m/>
    <n v="103.49999999999997"/>
    <m/>
  </r>
  <r>
    <x v="10"/>
    <s v="Business Intelligence Tools and Techniques"/>
    <x v="1"/>
    <x v="0"/>
    <s v="X"/>
    <s v="LT2"/>
    <n v="15"/>
    <n v="4"/>
    <n v="2"/>
    <n v="22.5"/>
    <n v="0.6"/>
    <n v="1"/>
    <n v="26.9"/>
    <x v="13"/>
    <n v="4.4000000000000004"/>
    <m/>
    <n v="4.4000000000000004"/>
    <n v="22.5"/>
    <m/>
    <m/>
    <m/>
    <n v="22.5"/>
    <m/>
  </r>
  <r>
    <x v="10"/>
    <s v="Business Intelligence Tools and Techniques"/>
    <x v="2"/>
    <x v="2"/>
    <s v="D"/>
    <s v="LT6"/>
    <n v="0"/>
    <n v="20"/>
    <n v="35"/>
    <n v="0"/>
    <n v="0.6"/>
    <n v="0"/>
    <n v="47"/>
    <x v="13"/>
    <n v="47"/>
    <m/>
    <n v="47"/>
    <n v="0"/>
    <m/>
    <m/>
    <m/>
    <n v="0"/>
    <m/>
  </r>
  <r>
    <x v="10"/>
    <s v="Business Intelligence Tools and Techniques"/>
    <x v="5"/>
    <x v="5"/>
    <s v="D"/>
    <s v="LT6"/>
    <n v="0"/>
    <n v="40"/>
    <n v="35"/>
    <n v="0"/>
    <n v="0.6"/>
    <n v="0"/>
    <n v="59"/>
    <x v="13"/>
    <n v="59"/>
    <m/>
    <n v="59"/>
    <n v="0"/>
    <m/>
    <m/>
    <m/>
    <n v="0"/>
    <m/>
  </r>
  <r>
    <x v="10"/>
    <s v="Business Intelligence Tools and Techniques"/>
    <x v="6"/>
    <x v="5"/>
    <s v="D"/>
    <s v="LT6"/>
    <n v="0"/>
    <n v="40"/>
    <n v="35"/>
    <n v="0"/>
    <n v="0.6"/>
    <n v="0"/>
    <n v="59"/>
    <x v="13"/>
    <n v="59"/>
    <m/>
    <n v="59"/>
    <n v="0"/>
    <m/>
    <m/>
    <m/>
    <n v="0"/>
    <m/>
  </r>
  <r>
    <x v="10"/>
    <s v="Business Intelligence Tools and Techniques"/>
    <x v="7"/>
    <x v="5"/>
    <s v="D"/>
    <s v="LT6"/>
    <n v="0"/>
    <n v="40"/>
    <n v="35"/>
    <n v="0"/>
    <n v="0.6"/>
    <n v="0"/>
    <n v="59"/>
    <x v="13"/>
    <n v="59"/>
    <m/>
    <n v="59"/>
    <n v="0"/>
    <m/>
    <m/>
    <m/>
    <n v="0"/>
    <m/>
  </r>
  <r>
    <x v="10"/>
    <s v="Business Intelligence Tools and Techniques"/>
    <x v="8"/>
    <x v="6"/>
    <s v="D"/>
    <s v="LT6"/>
    <n v="0"/>
    <n v="40"/>
    <n v="35"/>
    <n v="0"/>
    <n v="0.6"/>
    <n v="0"/>
    <n v="59"/>
    <x v="13"/>
    <n v="59"/>
    <m/>
    <n v="59"/>
    <n v="0"/>
    <m/>
    <m/>
    <m/>
    <n v="0"/>
    <m/>
  </r>
  <r>
    <x v="11"/>
    <s v="Data Structures and Abstractions"/>
    <x v="1"/>
    <x v="0"/>
    <s v="D"/>
    <s v="LT1"/>
    <n v="15"/>
    <n v="60"/>
    <n v="164"/>
    <n v="34.5"/>
    <n v="0.7"/>
    <n v="4"/>
    <n v="344"/>
    <x v="12"/>
    <n v="206"/>
    <m/>
    <n v="206"/>
    <n v="138"/>
    <m/>
    <m/>
    <m/>
    <n v="138"/>
    <m/>
  </r>
  <r>
    <x v="11"/>
    <s v="Data Structures and Abstractions"/>
    <x v="1"/>
    <x v="0"/>
    <s v="X"/>
    <s v="LT2"/>
    <n v="15"/>
    <n v="12"/>
    <n v="2"/>
    <n v="22.5"/>
    <n v="0.6"/>
    <n v="1"/>
    <n v="31.7"/>
    <x v="12"/>
    <n v="9.1999999999999993"/>
    <m/>
    <n v="9.1999999999999993"/>
    <n v="22.5"/>
    <m/>
    <m/>
    <m/>
    <n v="22.5"/>
    <m/>
  </r>
  <r>
    <x v="11"/>
    <s v="Data Structures and Abstractions"/>
    <x v="2"/>
    <x v="2"/>
    <s v="D"/>
    <s v="LT6"/>
    <n v="0"/>
    <n v="20"/>
    <n v="35"/>
    <n v="0"/>
    <n v="0.6"/>
    <n v="0"/>
    <n v="47"/>
    <x v="12"/>
    <n v="47"/>
    <m/>
    <n v="47"/>
    <n v="0"/>
    <m/>
    <m/>
    <m/>
    <n v="0"/>
    <m/>
  </r>
  <r>
    <x v="11"/>
    <s v="Data Structures and Abstractions"/>
    <x v="5"/>
    <x v="5"/>
    <s v="D"/>
    <s v="LT6"/>
    <n v="0"/>
    <n v="40"/>
    <n v="35"/>
    <n v="0"/>
    <n v="0.6"/>
    <n v="0"/>
    <n v="59"/>
    <x v="12"/>
    <n v="59"/>
    <m/>
    <n v="59"/>
    <n v="0"/>
    <m/>
    <m/>
    <m/>
    <n v="0"/>
    <m/>
  </r>
  <r>
    <x v="11"/>
    <s v="Data Structures and Abstractions"/>
    <x v="6"/>
    <x v="5"/>
    <s v="D"/>
    <s v="LT6"/>
    <n v="0"/>
    <n v="40"/>
    <n v="35"/>
    <n v="0"/>
    <n v="0.6"/>
    <n v="0"/>
    <n v="59"/>
    <x v="12"/>
    <n v="59"/>
    <m/>
    <n v="59"/>
    <n v="0"/>
    <m/>
    <m/>
    <m/>
    <n v="0"/>
    <m/>
  </r>
  <r>
    <x v="11"/>
    <s v="Data Structures and Abstractions"/>
    <x v="7"/>
    <x v="5"/>
    <s v="D"/>
    <s v="LT6"/>
    <n v="0"/>
    <n v="40"/>
    <n v="35"/>
    <n v="0"/>
    <n v="0.6"/>
    <n v="0"/>
    <n v="59"/>
    <x v="12"/>
    <n v="59"/>
    <m/>
    <n v="59"/>
    <n v="0"/>
    <m/>
    <m/>
    <m/>
    <n v="0"/>
    <m/>
  </r>
  <r>
    <x v="12"/>
    <s v="Web Computing"/>
    <x v="0"/>
    <x v="0"/>
    <s v="D"/>
    <s v="LT1"/>
    <n v="15"/>
    <n v="24"/>
    <n v="164"/>
    <n v="34.5"/>
    <n v="0.7"/>
    <n v="2"/>
    <n v="249.8"/>
    <x v="14"/>
    <n v="180.8"/>
    <m/>
    <n v="180.8"/>
    <n v="69"/>
    <m/>
    <m/>
    <m/>
    <n v="69"/>
    <m/>
  </r>
  <r>
    <x v="12"/>
    <s v="Web Computing"/>
    <x v="0"/>
    <x v="0"/>
    <s v="X"/>
    <s v="LT2"/>
    <n v="15"/>
    <n v="12"/>
    <n v="2"/>
    <n v="22.5"/>
    <n v="0.6"/>
    <n v="1"/>
    <n v="31.7"/>
    <x v="14"/>
    <n v="9.1999999999999993"/>
    <m/>
    <n v="9.1999999999999993"/>
    <n v="22.5"/>
    <m/>
    <m/>
    <m/>
    <n v="22.5"/>
    <m/>
  </r>
  <r>
    <x v="13"/>
    <s v="Computer Graphics Principles and Programming"/>
    <x v="1"/>
    <x v="0"/>
    <s v="D"/>
    <s v="LT1"/>
    <n v="15"/>
    <n v="33"/>
    <n v="164"/>
    <n v="34.5"/>
    <n v="0.7"/>
    <n v="3"/>
    <n v="290.60000000000002"/>
    <x v="12"/>
    <n v="187.1"/>
    <m/>
    <n v="187.1"/>
    <n v="103.50000000000003"/>
    <m/>
    <m/>
    <m/>
    <n v="103.50000000000003"/>
    <m/>
  </r>
  <r>
    <x v="13"/>
    <s v="Computer Graphics Principles and Programming"/>
    <x v="1"/>
    <x v="0"/>
    <s v="X"/>
    <s v="LT2"/>
    <n v="15"/>
    <n v="3"/>
    <n v="2"/>
    <n v="22.5"/>
    <n v="0.6"/>
    <n v="1"/>
    <n v="26.3"/>
    <x v="12"/>
    <n v="3.8"/>
    <m/>
    <n v="3.8"/>
    <n v="22.5"/>
    <m/>
    <m/>
    <m/>
    <n v="22.5"/>
    <m/>
  </r>
  <r>
    <x v="14"/>
    <s v="Databases"/>
    <x v="0"/>
    <x v="0"/>
    <s v="D"/>
    <s v="LT1"/>
    <n v="15"/>
    <n v="94"/>
    <n v="164"/>
    <n v="34.5"/>
    <n v="0.7"/>
    <n v="7"/>
    <n v="471.3"/>
    <x v="13"/>
    <n v="229.8"/>
    <m/>
    <n v="229.8"/>
    <n v="241.5"/>
    <m/>
    <m/>
    <m/>
    <n v="241.5"/>
    <m/>
  </r>
  <r>
    <x v="14"/>
    <s v="Databases"/>
    <x v="0"/>
    <x v="0"/>
    <s v="X"/>
    <s v="LT2"/>
    <n v="15"/>
    <n v="12"/>
    <n v="2"/>
    <n v="22.5"/>
    <n v="0.6"/>
    <n v="1"/>
    <n v="31.7"/>
    <x v="13"/>
    <n v="9.1999999999999993"/>
    <m/>
    <n v="9.1999999999999993"/>
    <n v="22.5"/>
    <m/>
    <m/>
    <m/>
    <n v="22.5"/>
    <m/>
  </r>
  <r>
    <x v="14"/>
    <s v="Databases"/>
    <x v="6"/>
    <x v="5"/>
    <s v="D"/>
    <s v="LT6"/>
    <n v="0"/>
    <n v="40"/>
    <n v="35"/>
    <n v="0"/>
    <n v="0.6"/>
    <n v="0"/>
    <n v="59"/>
    <x v="13"/>
    <n v="59"/>
    <m/>
    <n v="59"/>
    <n v="0"/>
    <m/>
    <m/>
    <m/>
    <n v="0"/>
    <m/>
  </r>
  <r>
    <x v="14"/>
    <s v="Databases"/>
    <x v="7"/>
    <x v="5"/>
    <s v="D"/>
    <s v="LT6"/>
    <n v="0"/>
    <n v="40"/>
    <n v="35"/>
    <n v="0"/>
    <n v="0.6"/>
    <n v="0"/>
    <n v="59"/>
    <x v="13"/>
    <n v="59"/>
    <m/>
    <n v="59"/>
    <n v="0"/>
    <m/>
    <m/>
    <m/>
    <n v="0"/>
    <m/>
  </r>
  <r>
    <x v="14"/>
    <s v="Databases"/>
    <x v="9"/>
    <x v="6"/>
    <s v="D"/>
    <s v="LT6"/>
    <n v="0"/>
    <n v="40"/>
    <n v="35"/>
    <n v="0"/>
    <n v="0.6"/>
    <n v="0"/>
    <n v="59"/>
    <x v="13"/>
    <n v="59"/>
    <m/>
    <n v="59"/>
    <n v="0"/>
    <m/>
    <m/>
    <m/>
    <n v="0"/>
    <m/>
  </r>
  <r>
    <x v="14"/>
    <s v="Databases"/>
    <x v="8"/>
    <x v="6"/>
    <s v="D"/>
    <s v="LT6"/>
    <n v="0"/>
    <n v="40"/>
    <n v="35"/>
    <n v="0"/>
    <n v="0.6"/>
    <n v="0"/>
    <n v="59"/>
    <x v="13"/>
    <n v="59"/>
    <m/>
    <n v="59"/>
    <n v="0"/>
    <m/>
    <m/>
    <m/>
    <n v="0"/>
    <m/>
  </r>
  <r>
    <x v="14"/>
    <s v="Databases"/>
    <x v="3"/>
    <x v="2"/>
    <s v="D"/>
    <s v="LT6"/>
    <n v="0"/>
    <n v="20"/>
    <n v="35"/>
    <n v="0"/>
    <n v="0.6"/>
    <n v="0"/>
    <n v="47"/>
    <x v="13"/>
    <n v="47"/>
    <m/>
    <n v="47"/>
    <n v="0"/>
    <m/>
    <m/>
    <m/>
    <n v="0"/>
    <m/>
  </r>
  <r>
    <x v="14"/>
    <s v="Databases"/>
    <x v="0"/>
    <x v="1"/>
    <s v="D"/>
    <s v="LT4"/>
    <n v="15"/>
    <n v="10"/>
    <n v="29"/>
    <n v="34.5"/>
    <n v="0.7"/>
    <n v="1"/>
    <n v="0"/>
    <x v="7"/>
    <n v="0"/>
    <m/>
    <n v="0"/>
    <n v="0"/>
    <m/>
    <m/>
    <m/>
    <n v="0"/>
    <m/>
  </r>
  <r>
    <x v="15"/>
    <s v="Intelligent Systems"/>
    <x v="0"/>
    <x v="0"/>
    <s v="D"/>
    <s v="LT1"/>
    <n v="15"/>
    <n v="30"/>
    <n v="164"/>
    <n v="34.5"/>
    <n v="0.7"/>
    <n v="2"/>
    <n v="254"/>
    <x v="15"/>
    <n v="185"/>
    <m/>
    <n v="185"/>
    <n v="69"/>
    <m/>
    <m/>
    <m/>
    <n v="69"/>
    <m/>
  </r>
  <r>
    <x v="15"/>
    <s v="Intelligent Systems"/>
    <x v="0"/>
    <x v="0"/>
    <s v="X"/>
    <s v="LT2"/>
    <n v="15"/>
    <n v="3"/>
    <n v="2"/>
    <n v="22.5"/>
    <n v="0.6"/>
    <n v="1"/>
    <n v="26.3"/>
    <x v="15"/>
    <n v="3.8"/>
    <m/>
    <n v="3.8"/>
    <n v="22.5"/>
    <m/>
    <m/>
    <m/>
    <n v="22.5"/>
    <m/>
  </r>
  <r>
    <x v="16"/>
    <s v="Systems Analysis and Design"/>
    <x v="1"/>
    <x v="0"/>
    <s v="D"/>
    <s v="LT1"/>
    <n v="15"/>
    <n v="90"/>
    <n v="164"/>
    <n v="34.5"/>
    <n v="0.7"/>
    <n v="6"/>
    <n v="434"/>
    <x v="16"/>
    <n v="227"/>
    <m/>
    <n v="227"/>
    <n v="207"/>
    <m/>
    <m/>
    <m/>
    <n v="207"/>
    <m/>
  </r>
  <r>
    <x v="16"/>
    <s v="Systems Analysis and Design"/>
    <x v="1"/>
    <x v="0"/>
    <s v="X"/>
    <s v="LT2"/>
    <n v="15"/>
    <n v="20"/>
    <n v="2"/>
    <n v="22.5"/>
    <n v="0.6"/>
    <n v="2"/>
    <n v="59"/>
    <x v="16"/>
    <n v="14"/>
    <m/>
    <n v="14"/>
    <n v="45"/>
    <m/>
    <m/>
    <m/>
    <n v="45"/>
    <m/>
  </r>
  <r>
    <x v="16"/>
    <s v="Systems Analysis and Design"/>
    <x v="2"/>
    <x v="2"/>
    <s v="D"/>
    <s v="LT6"/>
    <n v="0"/>
    <n v="20"/>
    <n v="35"/>
    <n v="0"/>
    <n v="0.6"/>
    <n v="0"/>
    <n v="47"/>
    <x v="16"/>
    <n v="47"/>
    <m/>
    <n v="47"/>
    <n v="0"/>
    <m/>
    <m/>
    <m/>
    <n v="0"/>
    <m/>
  </r>
  <r>
    <x v="16"/>
    <s v="Systems Analysis and Design"/>
    <x v="5"/>
    <x v="5"/>
    <s v="D"/>
    <s v="LT6"/>
    <n v="0"/>
    <n v="40"/>
    <n v="35"/>
    <n v="0"/>
    <n v="0.6"/>
    <n v="0"/>
    <n v="59"/>
    <x v="16"/>
    <n v="59"/>
    <m/>
    <n v="59"/>
    <n v="0"/>
    <m/>
    <m/>
    <m/>
    <n v="0"/>
    <m/>
  </r>
  <r>
    <x v="16"/>
    <s v="Systems Analysis and Design"/>
    <x v="6"/>
    <x v="5"/>
    <s v="D"/>
    <s v="LT6"/>
    <n v="0"/>
    <n v="40"/>
    <n v="35"/>
    <n v="0"/>
    <n v="0.6"/>
    <n v="0"/>
    <n v="59"/>
    <x v="16"/>
    <n v="59"/>
    <m/>
    <n v="59"/>
    <n v="0"/>
    <m/>
    <m/>
    <m/>
    <n v="0"/>
    <m/>
  </r>
  <r>
    <x v="16"/>
    <s v="Systems Analysis and Design"/>
    <x v="7"/>
    <x v="5"/>
    <s v="D"/>
    <s v="LT6"/>
    <n v="0"/>
    <n v="40"/>
    <n v="35"/>
    <n v="0"/>
    <n v="0.6"/>
    <n v="0"/>
    <n v="59"/>
    <x v="16"/>
    <n v="59"/>
    <m/>
    <n v="59"/>
    <n v="0"/>
    <m/>
    <m/>
    <m/>
    <n v="0"/>
    <m/>
  </r>
  <r>
    <x v="16"/>
    <s v="Systems Analysis and Design"/>
    <x v="9"/>
    <x v="6"/>
    <s v="D"/>
    <s v="LT6"/>
    <n v="0"/>
    <n v="40"/>
    <n v="35"/>
    <n v="0"/>
    <n v="0.6"/>
    <n v="0"/>
    <n v="59"/>
    <x v="16"/>
    <n v="59"/>
    <m/>
    <n v="59"/>
    <n v="0"/>
    <m/>
    <m/>
    <m/>
    <n v="0"/>
    <m/>
  </r>
  <r>
    <x v="16"/>
    <s v="Systems Analysis and Design"/>
    <x v="10"/>
    <x v="6"/>
    <s v="D"/>
    <s v="LT6"/>
    <n v="0"/>
    <n v="40"/>
    <n v="35"/>
    <n v="0"/>
    <n v="0.6"/>
    <n v="0"/>
    <n v="59"/>
    <x v="16"/>
    <n v="59"/>
    <m/>
    <n v="59"/>
    <n v="0"/>
    <m/>
    <m/>
    <m/>
    <n v="0"/>
    <m/>
  </r>
  <r>
    <x v="16"/>
    <s v="Systems Analysis and Design"/>
    <x v="1"/>
    <x v="1"/>
    <s v="D"/>
    <s v="LT4"/>
    <n v="15"/>
    <n v="10"/>
    <n v="29"/>
    <n v="34.5"/>
    <n v="0.7"/>
    <n v="1"/>
    <n v="0"/>
    <x v="7"/>
    <n v="0"/>
    <m/>
    <n v="0"/>
    <n v="0"/>
    <m/>
    <m/>
    <m/>
    <n v="0"/>
    <m/>
  </r>
  <r>
    <x v="17"/>
    <s v="Software Development Frameworks"/>
    <x v="1"/>
    <x v="0"/>
    <s v="D"/>
    <s v="LT1"/>
    <n v="15"/>
    <n v="26"/>
    <n v="164"/>
    <n v="34.5"/>
    <n v="0.7"/>
    <n v="2"/>
    <n v="251.2"/>
    <x v="6"/>
    <n v="0"/>
    <m/>
    <n v="0"/>
    <n v="251.2"/>
    <m/>
    <m/>
    <m/>
    <n v="251.2"/>
    <m/>
  </r>
  <r>
    <x v="17"/>
    <s v="Software Development Frameworks"/>
    <x v="1"/>
    <x v="0"/>
    <s v="X"/>
    <s v="LT2"/>
    <n v="15"/>
    <n v="5"/>
    <n v="2"/>
    <n v="22.5"/>
    <n v="0.6"/>
    <n v="1"/>
    <n v="27.5"/>
    <x v="6"/>
    <n v="0"/>
    <m/>
    <n v="0"/>
    <n v="27.5"/>
    <m/>
    <m/>
    <m/>
    <n v="27.5"/>
    <m/>
  </r>
  <r>
    <x v="18"/>
    <s v="Games Software Design"/>
    <x v="1"/>
    <x v="0"/>
    <s v="D"/>
    <s v="LT1"/>
    <n v="15"/>
    <n v="42"/>
    <n v="164"/>
    <n v="34.5"/>
    <n v="0.7"/>
    <n v="3"/>
    <n v="296.89999999999998"/>
    <x v="0"/>
    <n v="193.4"/>
    <m/>
    <n v="193.4"/>
    <n v="103.49999999999997"/>
    <m/>
    <m/>
    <m/>
    <n v="103.49999999999997"/>
    <m/>
  </r>
  <r>
    <x v="18"/>
    <s v="Games Software Design"/>
    <x v="1"/>
    <x v="0"/>
    <s v="X"/>
    <s v="LT2"/>
    <n v="15"/>
    <n v="5"/>
    <n v="2"/>
    <n v="22.5"/>
    <n v="0.6"/>
    <n v="1"/>
    <n v="27.5"/>
    <x v="0"/>
    <n v="5"/>
    <m/>
    <n v="5"/>
    <n v="22.5"/>
    <m/>
    <m/>
    <m/>
    <n v="22.5"/>
    <m/>
  </r>
  <r>
    <x v="19"/>
    <s v="Games Software Production"/>
    <x v="0"/>
    <x v="0"/>
    <s v="D"/>
    <s v="LT1"/>
    <n v="15"/>
    <n v="14"/>
    <n v="164"/>
    <n v="34.5"/>
    <n v="0.7"/>
    <n v="1"/>
    <n v="208.3"/>
    <x v="0"/>
    <n v="173.8"/>
    <m/>
    <n v="173.8"/>
    <n v="34.5"/>
    <m/>
    <m/>
    <m/>
    <n v="34.5"/>
    <m/>
  </r>
  <r>
    <x v="19"/>
    <s v="Games Software Production"/>
    <x v="0"/>
    <x v="0"/>
    <s v="X"/>
    <s v="LT2"/>
    <n v="15"/>
    <n v="5"/>
    <n v="2"/>
    <n v="22.5"/>
    <n v="0.6"/>
    <n v="1"/>
    <n v="27.5"/>
    <x v="0"/>
    <n v="5"/>
    <m/>
    <n v="5"/>
    <n v="22.5"/>
    <m/>
    <m/>
    <m/>
    <n v="22.5"/>
    <m/>
  </r>
  <r>
    <x v="20"/>
    <s v="Cyber Forensics"/>
    <x v="1"/>
    <x v="0"/>
    <s v="D"/>
    <s v="LT1"/>
    <n v="15"/>
    <n v="60"/>
    <n v="164"/>
    <n v="34.5"/>
    <n v="0.7"/>
    <n v="4"/>
    <n v="344"/>
    <x v="17"/>
    <n v="206"/>
    <m/>
    <n v="206"/>
    <n v="138"/>
    <m/>
    <m/>
    <m/>
    <n v="138"/>
    <m/>
  </r>
  <r>
    <x v="20"/>
    <s v="Cyber Forensics"/>
    <x v="1"/>
    <x v="0"/>
    <s v="X"/>
    <s v="LT2"/>
    <n v="15"/>
    <n v="15"/>
    <n v="2"/>
    <n v="22.5"/>
    <n v="0.6"/>
    <n v="1"/>
    <n v="33.5"/>
    <x v="17"/>
    <n v="11"/>
    <m/>
    <n v="11"/>
    <n v="22.5"/>
    <m/>
    <m/>
    <m/>
    <n v="22.5"/>
    <m/>
  </r>
  <r>
    <x v="20"/>
    <s v="Cyber Forensics"/>
    <x v="6"/>
    <x v="5"/>
    <s v="D"/>
    <s v="LT6"/>
    <n v="0"/>
    <n v="40"/>
    <n v="35"/>
    <n v="0"/>
    <n v="0.6"/>
    <n v="0"/>
    <n v="59"/>
    <x v="17"/>
    <n v="59"/>
    <m/>
    <n v="59"/>
    <n v="0"/>
    <m/>
    <m/>
    <m/>
    <n v="0"/>
    <m/>
  </r>
  <r>
    <x v="20"/>
    <s v="Cyber Forensics"/>
    <x v="9"/>
    <x v="6"/>
    <s v="D"/>
    <s v="LT6"/>
    <n v="0"/>
    <n v="40"/>
    <n v="35"/>
    <n v="0"/>
    <n v="0.6"/>
    <n v="0"/>
    <n v="59"/>
    <x v="17"/>
    <n v="59"/>
    <m/>
    <n v="59"/>
    <n v="0"/>
    <m/>
    <m/>
    <m/>
    <n v="0"/>
    <m/>
  </r>
  <r>
    <x v="20"/>
    <s v="Cyber Forensics"/>
    <x v="10"/>
    <x v="6"/>
    <s v="D"/>
    <s v="LT6"/>
    <n v="0"/>
    <n v="40"/>
    <n v="35"/>
    <n v="0"/>
    <n v="0.6"/>
    <n v="0"/>
    <n v="59"/>
    <x v="17"/>
    <n v="59"/>
    <m/>
    <n v="59"/>
    <n v="0"/>
    <m/>
    <m/>
    <m/>
    <n v="0"/>
    <m/>
  </r>
  <r>
    <x v="21"/>
    <s v="Knowledge Management Techniques"/>
    <x v="1"/>
    <x v="0"/>
    <s v="D"/>
    <s v="LT1"/>
    <n v="15"/>
    <n v="45"/>
    <n v="164"/>
    <n v="34.5"/>
    <n v="0.7"/>
    <n v="3"/>
    <n v="299"/>
    <x v="9"/>
    <n v="195.5"/>
    <m/>
    <n v="195.5"/>
    <n v="103.5"/>
    <m/>
    <m/>
    <m/>
    <n v="103.5"/>
    <m/>
  </r>
  <r>
    <x v="21"/>
    <s v="Knowledge Management Techniques"/>
    <x v="1"/>
    <x v="0"/>
    <s v="X"/>
    <s v="LT2"/>
    <n v="15"/>
    <n v="9"/>
    <n v="2"/>
    <n v="22.5"/>
    <n v="0.6"/>
    <n v="1"/>
    <n v="29.9"/>
    <x v="9"/>
    <n v="7.3999999999999995"/>
    <m/>
    <n v="7.3999999999999995"/>
    <n v="22.5"/>
    <m/>
    <m/>
    <m/>
    <n v="22.5"/>
    <m/>
  </r>
  <r>
    <x v="21"/>
    <s v="Knowledge Management Techniques"/>
    <x v="5"/>
    <x v="5"/>
    <s v="D"/>
    <s v="LT6"/>
    <n v="0"/>
    <n v="40"/>
    <n v="35"/>
    <n v="0"/>
    <n v="0.6"/>
    <n v="0"/>
    <n v="59"/>
    <x v="9"/>
    <n v="59"/>
    <m/>
    <n v="59"/>
    <n v="0"/>
    <m/>
    <m/>
    <m/>
    <n v="0"/>
    <m/>
  </r>
  <r>
    <x v="21"/>
    <s v="Knowledge Management Techniques"/>
    <x v="8"/>
    <x v="6"/>
    <s v="D"/>
    <s v="LT6"/>
    <n v="0"/>
    <n v="40"/>
    <n v="35"/>
    <n v="0"/>
    <n v="0.6"/>
    <n v="0"/>
    <n v="59"/>
    <x v="6"/>
    <n v="0"/>
    <m/>
    <n v="0"/>
    <n v="59"/>
    <m/>
    <m/>
    <m/>
    <n v="59"/>
    <m/>
  </r>
  <r>
    <x v="21"/>
    <s v="Knowledge Management Techniques"/>
    <x v="3"/>
    <x v="2"/>
    <s v="D"/>
    <s v="LT6"/>
    <n v="0"/>
    <n v="20"/>
    <n v="35"/>
    <n v="0"/>
    <n v="0.6"/>
    <n v="0"/>
    <n v="47"/>
    <x v="9"/>
    <n v="47"/>
    <m/>
    <n v="47"/>
    <n v="0"/>
    <m/>
    <m/>
    <m/>
    <n v="0"/>
    <m/>
  </r>
  <r>
    <x v="22"/>
    <s v="Wireless Networks"/>
    <x v="0"/>
    <x v="0"/>
    <s v="D"/>
    <s v="LT1"/>
    <n v="15"/>
    <n v="30"/>
    <n v="164"/>
    <n v="34.5"/>
    <n v="0.7"/>
    <n v="2"/>
    <n v="254"/>
    <x v="2"/>
    <n v="185"/>
    <m/>
    <n v="185"/>
    <n v="69"/>
    <m/>
    <m/>
    <m/>
    <n v="69"/>
    <m/>
  </r>
  <r>
    <x v="23"/>
    <s v="Knowledge and Information Security"/>
    <x v="0"/>
    <x v="0"/>
    <s v="D"/>
    <s v="LT1"/>
    <n v="15"/>
    <n v="60"/>
    <n v="164"/>
    <n v="34.5"/>
    <n v="0.7"/>
    <n v="4"/>
    <n v="344"/>
    <x v="17"/>
    <n v="206"/>
    <m/>
    <n v="206"/>
    <n v="138"/>
    <m/>
    <m/>
    <m/>
    <n v="138"/>
    <m/>
  </r>
  <r>
    <x v="23"/>
    <s v="Knowledge and Information Security"/>
    <x v="0"/>
    <x v="0"/>
    <s v="X"/>
    <s v="LT2"/>
    <n v="15"/>
    <n v="5"/>
    <n v="2"/>
    <n v="22.5"/>
    <n v="0.6"/>
    <n v="1"/>
    <n v="27.5"/>
    <x v="17"/>
    <n v="5"/>
    <m/>
    <n v="5"/>
    <n v="22.5"/>
    <m/>
    <m/>
    <m/>
    <n v="22.5"/>
    <m/>
  </r>
  <r>
    <x v="23"/>
    <s v="Knowledge and Information Security"/>
    <x v="5"/>
    <x v="5"/>
    <s v="D"/>
    <s v="LT6"/>
    <n v="0"/>
    <n v="40"/>
    <n v="35"/>
    <n v="0"/>
    <n v="0.6"/>
    <n v="0"/>
    <n v="59"/>
    <x v="17"/>
    <n v="59"/>
    <m/>
    <n v="59"/>
    <n v="0"/>
    <m/>
    <m/>
    <m/>
    <n v="0"/>
    <m/>
  </r>
  <r>
    <x v="23"/>
    <s v="Knowledge and Information Security"/>
    <x v="6"/>
    <x v="5"/>
    <s v="D"/>
    <s v="LT6"/>
    <n v="0"/>
    <n v="40"/>
    <n v="35"/>
    <n v="0"/>
    <n v="0.6"/>
    <n v="0"/>
    <n v="59"/>
    <x v="17"/>
    <n v="59"/>
    <m/>
    <n v="59"/>
    <n v="0"/>
    <m/>
    <m/>
    <m/>
    <n v="0"/>
    <m/>
  </r>
  <r>
    <x v="23"/>
    <s v="Knowledge and Information Security"/>
    <x v="10"/>
    <x v="6"/>
    <s v="D"/>
    <s v="LT6"/>
    <n v="0"/>
    <n v="40"/>
    <n v="35"/>
    <n v="0"/>
    <n v="0.6"/>
    <n v="0"/>
    <n v="59"/>
    <x v="17"/>
    <n v="59"/>
    <m/>
    <n v="59"/>
    <n v="0"/>
    <m/>
    <m/>
    <m/>
    <n v="0"/>
    <m/>
  </r>
  <r>
    <x v="23"/>
    <s v="Knowledge and Information Security"/>
    <x v="0"/>
    <x v="1"/>
    <s v="D"/>
    <s v="LT4"/>
    <n v="15"/>
    <n v="10"/>
    <n v="29"/>
    <n v="34.5"/>
    <n v="0.7"/>
    <n v="1"/>
    <n v="70.5"/>
    <x v="17"/>
    <n v="36"/>
    <m/>
    <n v="36"/>
    <n v="34.5"/>
    <m/>
    <m/>
    <m/>
    <n v="34.5"/>
    <m/>
  </r>
  <r>
    <x v="24"/>
    <s v="Software Architectures"/>
    <x v="1"/>
    <x v="0"/>
    <s v="D"/>
    <s v="LT1"/>
    <n v="15"/>
    <n v="33"/>
    <n v="164"/>
    <n v="34.5"/>
    <n v="0.7"/>
    <n v="3"/>
    <n v="290.60000000000002"/>
    <x v="4"/>
    <n v="187.1"/>
    <m/>
    <n v="187.1"/>
    <n v="103.50000000000003"/>
    <m/>
    <m/>
    <m/>
    <n v="103.50000000000003"/>
    <m/>
  </r>
  <r>
    <x v="24"/>
    <s v="Software Architectures"/>
    <x v="1"/>
    <x v="0"/>
    <s v="X"/>
    <s v="LT2"/>
    <n v="15"/>
    <n v="10"/>
    <n v="2"/>
    <n v="22.5"/>
    <n v="0.6"/>
    <n v="1"/>
    <n v="30.5"/>
    <x v="4"/>
    <n v="8"/>
    <m/>
    <n v="8"/>
    <n v="22.5"/>
    <m/>
    <m/>
    <m/>
    <n v="22.5"/>
    <m/>
  </r>
  <r>
    <x v="24"/>
    <s v="Software Architectures"/>
    <x v="5"/>
    <x v="5"/>
    <s v="D"/>
    <s v="LT6"/>
    <n v="0"/>
    <n v="40"/>
    <n v="35"/>
    <n v="0"/>
    <n v="0.6"/>
    <n v="0"/>
    <n v="59"/>
    <x v="4"/>
    <n v="59"/>
    <m/>
    <n v="59"/>
    <n v="0"/>
    <m/>
    <m/>
    <m/>
    <n v="0"/>
    <m/>
  </r>
  <r>
    <x v="24"/>
    <s v="Software Architectures"/>
    <x v="6"/>
    <x v="5"/>
    <s v="D"/>
    <s v="LT6"/>
    <n v="0"/>
    <n v="40"/>
    <n v="35"/>
    <n v="0"/>
    <n v="0.6"/>
    <n v="0"/>
    <n v="59"/>
    <x v="4"/>
    <n v="59"/>
    <m/>
    <n v="59"/>
    <n v="0"/>
    <m/>
    <m/>
    <m/>
    <n v="0"/>
    <m/>
  </r>
  <r>
    <x v="24"/>
    <s v="Software Architectures"/>
    <x v="7"/>
    <x v="5"/>
    <s v="D"/>
    <s v="LT6"/>
    <n v="0"/>
    <n v="40"/>
    <n v="35"/>
    <n v="0"/>
    <n v="0.6"/>
    <n v="0"/>
    <n v="59"/>
    <x v="4"/>
    <n v="59"/>
    <m/>
    <n v="59"/>
    <n v="0"/>
    <m/>
    <m/>
    <m/>
    <n v="0"/>
    <m/>
  </r>
  <r>
    <x v="24"/>
    <s v="Software Architectures"/>
    <x v="2"/>
    <x v="2"/>
    <s v="D"/>
    <s v="LT6"/>
    <n v="0"/>
    <n v="10"/>
    <n v="35"/>
    <n v="0"/>
    <n v="0.6"/>
    <n v="0"/>
    <n v="41"/>
    <x v="4"/>
    <n v="41"/>
    <m/>
    <n v="41"/>
    <n v="0"/>
    <m/>
    <m/>
    <m/>
    <n v="0"/>
    <m/>
  </r>
  <r>
    <x v="25"/>
    <s v="Games Development"/>
    <x v="1"/>
    <x v="0"/>
    <s v="D"/>
    <s v="LT1"/>
    <n v="15"/>
    <n v="28"/>
    <n v="164"/>
    <n v="34.5"/>
    <n v="0.7"/>
    <n v="2"/>
    <n v="252.6"/>
    <x v="10"/>
    <n v="183.6"/>
    <m/>
    <n v="183.6"/>
    <n v="69"/>
    <m/>
    <m/>
    <m/>
    <n v="69"/>
    <m/>
  </r>
  <r>
    <x v="25"/>
    <s v="Games Development"/>
    <x v="1"/>
    <x v="0"/>
    <s v="X"/>
    <s v="LT2"/>
    <n v="15"/>
    <n v="5"/>
    <n v="2"/>
    <n v="22.5"/>
    <n v="0.6"/>
    <n v="1"/>
    <n v="27.5"/>
    <x v="10"/>
    <n v="5"/>
    <m/>
    <n v="5"/>
    <n v="22.5"/>
    <m/>
    <m/>
    <m/>
    <n v="22.5"/>
    <m/>
  </r>
  <r>
    <x v="26"/>
    <s v="Operating Systems and Systems Programming"/>
    <x v="0"/>
    <x v="0"/>
    <s v="D"/>
    <s v="LT1"/>
    <n v="15"/>
    <n v="30"/>
    <n v="164"/>
    <n v="34.5"/>
    <n v="0.7"/>
    <n v="2"/>
    <n v="254"/>
    <x v="14"/>
    <n v="185"/>
    <m/>
    <n v="185"/>
    <n v="69"/>
    <m/>
    <m/>
    <m/>
    <n v="69"/>
    <m/>
  </r>
  <r>
    <x v="26"/>
    <s v="Operating Systems and Systems Programming"/>
    <x v="0"/>
    <x v="0"/>
    <s v="X"/>
    <s v="LT2"/>
    <n v="15"/>
    <n v="11"/>
    <n v="2"/>
    <n v="22.5"/>
    <n v="0.6"/>
    <n v="1"/>
    <n v="31.1"/>
    <x v="14"/>
    <n v="8.6"/>
    <m/>
    <n v="8.6"/>
    <n v="22.5"/>
    <m/>
    <m/>
    <m/>
    <n v="22.5"/>
    <m/>
  </r>
  <r>
    <x v="26"/>
    <s v="Operating Systems and Systems Programming"/>
    <x v="5"/>
    <x v="5"/>
    <s v="D"/>
    <s v="LT6"/>
    <n v="0"/>
    <n v="40"/>
    <n v="35"/>
    <n v="0"/>
    <n v="0.6"/>
    <n v="0"/>
    <n v="59"/>
    <x v="6"/>
    <n v="0"/>
    <m/>
    <n v="0"/>
    <n v="59"/>
    <m/>
    <m/>
    <m/>
    <n v="59"/>
    <m/>
  </r>
  <r>
    <x v="26"/>
    <s v="Operating Systems and Systems Programming"/>
    <x v="7"/>
    <x v="5"/>
    <s v="D"/>
    <s v="LT6"/>
    <n v="0"/>
    <n v="40"/>
    <n v="35"/>
    <n v="0"/>
    <n v="0.6"/>
    <n v="0"/>
    <n v="59"/>
    <x v="14"/>
    <n v="59"/>
    <m/>
    <n v="59"/>
    <n v="0"/>
    <m/>
    <m/>
    <m/>
    <n v="0"/>
    <m/>
  </r>
  <r>
    <x v="26"/>
    <s v="Operating Systems and Systems Programming"/>
    <x v="3"/>
    <x v="2"/>
    <s v="D"/>
    <s v="LT6"/>
    <n v="0"/>
    <n v="10"/>
    <n v="35"/>
    <n v="0"/>
    <n v="0.6"/>
    <n v="0"/>
    <n v="41"/>
    <x v="14"/>
    <n v="41"/>
    <m/>
    <n v="41"/>
    <n v="0"/>
    <m/>
    <m/>
    <m/>
    <n v="0"/>
    <m/>
  </r>
  <r>
    <x v="27"/>
    <s v="Advanced Games Design and Programming"/>
    <x v="1"/>
    <x v="0"/>
    <s v="D"/>
    <s v="LT1"/>
    <n v="15"/>
    <n v="29"/>
    <n v="164"/>
    <n v="34.5"/>
    <n v="0.7"/>
    <n v="2"/>
    <n v="253.3"/>
    <x v="6"/>
    <n v="0"/>
    <m/>
    <n v="0"/>
    <n v="253.3"/>
    <m/>
    <m/>
    <m/>
    <n v="253.3"/>
    <m/>
  </r>
  <r>
    <x v="27"/>
    <s v="Advanced Games Design and Programming"/>
    <x v="1"/>
    <x v="0"/>
    <s v="X"/>
    <s v="LT2"/>
    <n v="15"/>
    <n v="5"/>
    <n v="2"/>
    <n v="22.5"/>
    <n v="0.6"/>
    <n v="1"/>
    <n v="27.5"/>
    <x v="6"/>
    <n v="0"/>
    <m/>
    <n v="0"/>
    <n v="27.5"/>
    <m/>
    <m/>
    <m/>
    <n v="27.5"/>
    <m/>
  </r>
  <r>
    <x v="28"/>
    <s v="Virtual Environments for Games and Simulations"/>
    <x v="0"/>
    <x v="0"/>
    <s v="D"/>
    <s v="LT1"/>
    <n v="15"/>
    <n v="28"/>
    <n v="164"/>
    <n v="34.5"/>
    <n v="0.7"/>
    <n v="2"/>
    <n v="252.6"/>
    <x v="12"/>
    <n v="183.6"/>
    <m/>
    <n v="183.6"/>
    <n v="69"/>
    <m/>
    <m/>
    <m/>
    <n v="69"/>
    <m/>
  </r>
  <r>
    <x v="28"/>
    <s v="Virtual Environments for Games and Simulations"/>
    <x v="0"/>
    <x v="0"/>
    <s v="X"/>
    <s v="LT2"/>
    <n v="15"/>
    <n v="5"/>
    <n v="2"/>
    <n v="22.5"/>
    <n v="0.6"/>
    <n v="1"/>
    <n v="27.5"/>
    <x v="12"/>
    <n v="5"/>
    <m/>
    <n v="5"/>
    <n v="22.5"/>
    <m/>
    <m/>
    <m/>
    <n v="22.5"/>
    <m/>
  </r>
  <r>
    <x v="29"/>
    <s v="Games Technology Project"/>
    <x v="1"/>
    <x v="0"/>
    <s v="D"/>
    <s v="PRJ1"/>
    <n v="6"/>
    <n v="4"/>
    <n v="122"/>
    <n v="17"/>
    <n v="0.7"/>
    <n v="1"/>
    <n v="141.80000000000001"/>
    <x v="18"/>
    <n v="124.8"/>
    <m/>
    <n v="124.8"/>
    <n v="17.000000000000014"/>
    <n v="1"/>
    <m/>
    <m/>
    <n v="0"/>
    <m/>
  </r>
  <r>
    <x v="29"/>
    <s v="Games Technology Project"/>
    <x v="1"/>
    <x v="0"/>
    <s v="X"/>
    <s v="PRJ2"/>
    <n v="6"/>
    <n v="2"/>
    <n v="2"/>
    <n v="17"/>
    <n v="0.7"/>
    <n v="1"/>
    <n v="20.399999999999999"/>
    <x v="18"/>
    <n v="3.4"/>
    <m/>
    <n v="3.4"/>
    <n v="17"/>
    <m/>
    <m/>
    <m/>
    <n v="17"/>
    <m/>
  </r>
  <r>
    <x v="29"/>
    <s v="Games Technology Project"/>
    <x v="0"/>
    <x v="0"/>
    <s v="D"/>
    <s v="PRJ1"/>
    <n v="6"/>
    <n v="20"/>
    <n v="122"/>
    <n v="17"/>
    <n v="0.7"/>
    <n v="4"/>
    <n v="204"/>
    <x v="18"/>
    <n v="136"/>
    <m/>
    <n v="136"/>
    <n v="68"/>
    <m/>
    <m/>
    <m/>
    <n v="68"/>
    <m/>
  </r>
  <r>
    <x v="29"/>
    <s v="Games Technology Project"/>
    <x v="0"/>
    <x v="0"/>
    <s v="X"/>
    <s v="PRJ2"/>
    <n v="6"/>
    <n v="2"/>
    <n v="2"/>
    <n v="17"/>
    <n v="0.7"/>
    <n v="1"/>
    <n v="20.399999999999999"/>
    <x v="18"/>
    <n v="3.4"/>
    <m/>
    <n v="3.4"/>
    <n v="17"/>
    <m/>
    <m/>
    <m/>
    <n v="17"/>
    <m/>
  </r>
  <r>
    <x v="30"/>
    <s v="Human-Computer Interaction"/>
    <x v="1"/>
    <x v="0"/>
    <s v="D"/>
    <s v="LT1"/>
    <n v="15"/>
    <n v="30"/>
    <n v="164"/>
    <n v="34.5"/>
    <n v="0.7"/>
    <n v="2"/>
    <n v="254"/>
    <x v="15"/>
    <n v="185"/>
    <m/>
    <n v="185"/>
    <n v="69"/>
    <m/>
    <m/>
    <m/>
    <n v="69"/>
    <m/>
  </r>
  <r>
    <x v="30"/>
    <s v="Human-Computer Interaction"/>
    <x v="1"/>
    <x v="0"/>
    <s v="X"/>
    <s v="LT2"/>
    <n v="15"/>
    <n v="5"/>
    <n v="2"/>
    <n v="22.5"/>
    <n v="0.6"/>
    <n v="1"/>
    <n v="27.5"/>
    <x v="15"/>
    <n v="5"/>
    <m/>
    <n v="5"/>
    <n v="22.5"/>
    <m/>
    <m/>
    <m/>
    <n v="22.5"/>
    <m/>
  </r>
  <r>
    <x v="30"/>
    <s v="Human-Computer Interaction"/>
    <x v="6"/>
    <x v="5"/>
    <s v="D"/>
    <s v="LT6"/>
    <n v="0"/>
    <n v="40"/>
    <n v="35"/>
    <n v="0"/>
    <n v="0.6"/>
    <n v="0"/>
    <n v="59"/>
    <x v="15"/>
    <n v="59"/>
    <m/>
    <n v="59"/>
    <n v="0"/>
    <m/>
    <m/>
    <m/>
    <n v="0"/>
    <m/>
  </r>
  <r>
    <x v="30"/>
    <s v="Human-Computer Interaction"/>
    <x v="7"/>
    <x v="5"/>
    <s v="D"/>
    <s v="LT6"/>
    <n v="0"/>
    <n v="40"/>
    <n v="35"/>
    <n v="0"/>
    <n v="0.6"/>
    <n v="0"/>
    <n v="59"/>
    <x v="15"/>
    <n v="59"/>
    <m/>
    <n v="59"/>
    <n v="0"/>
    <m/>
    <m/>
    <m/>
    <n v="0"/>
    <m/>
  </r>
  <r>
    <x v="30"/>
    <s v="Human-Computer Interaction"/>
    <x v="3"/>
    <x v="2"/>
    <s v="D"/>
    <s v="LT6"/>
    <n v="0"/>
    <n v="10"/>
    <n v="35"/>
    <n v="0"/>
    <n v="0.6"/>
    <n v="0"/>
    <n v="41"/>
    <x v="15"/>
    <n v="41"/>
    <m/>
    <n v="41"/>
    <n v="0"/>
    <m/>
    <m/>
    <m/>
    <n v="0"/>
    <m/>
  </r>
  <r>
    <x v="31"/>
    <s v="Information Technology Project"/>
    <x v="1"/>
    <x v="0"/>
    <s v="D"/>
    <s v="PRJ1"/>
    <n v="6"/>
    <n v="10"/>
    <n v="122"/>
    <n v="17"/>
    <n v="0.7"/>
    <n v="2"/>
    <n v="163"/>
    <x v="18"/>
    <n v="129"/>
    <m/>
    <n v="129"/>
    <n v="34"/>
    <m/>
    <m/>
    <m/>
    <n v="34"/>
    <m/>
  </r>
  <r>
    <x v="31"/>
    <s v="Information Technology Project"/>
    <x v="1"/>
    <x v="0"/>
    <s v="X"/>
    <s v="PRJ2"/>
    <n v="6"/>
    <n v="6"/>
    <n v="2"/>
    <n v="17"/>
    <n v="0.7"/>
    <n v="1"/>
    <n v="23.2"/>
    <x v="18"/>
    <n v="6.1999999999999993"/>
    <m/>
    <n v="6.1999999999999993"/>
    <n v="17"/>
    <m/>
    <m/>
    <m/>
    <n v="17"/>
    <m/>
  </r>
  <r>
    <x v="31"/>
    <s v="Information Technology Project"/>
    <x v="0"/>
    <x v="0"/>
    <s v="D"/>
    <s v="PRJ1"/>
    <n v="6"/>
    <n v="30"/>
    <n v="122"/>
    <n v="17"/>
    <n v="0.7"/>
    <n v="5"/>
    <n v="228"/>
    <x v="18"/>
    <n v="143"/>
    <m/>
    <n v="143"/>
    <n v="85"/>
    <m/>
    <m/>
    <m/>
    <n v="85"/>
    <m/>
  </r>
  <r>
    <x v="31"/>
    <s v="Information Technology Project"/>
    <x v="0"/>
    <x v="0"/>
    <s v="X"/>
    <s v="PRJ2"/>
    <n v="6"/>
    <n v="6"/>
    <n v="2"/>
    <n v="17"/>
    <n v="0.7"/>
    <n v="1"/>
    <n v="23.2"/>
    <x v="18"/>
    <n v="6.1999999999999993"/>
    <m/>
    <n v="6.1999999999999993"/>
    <n v="17"/>
    <m/>
    <m/>
    <m/>
    <n v="17"/>
    <m/>
  </r>
  <r>
    <x v="31"/>
    <s v="Information Technology Project"/>
    <x v="6"/>
    <x v="5"/>
    <s v="D"/>
    <s v="PRJ6"/>
    <n v="0"/>
    <n v="40"/>
    <n v="41"/>
    <n v="0"/>
    <n v="0.6"/>
    <n v="0"/>
    <n v="65"/>
    <x v="18"/>
    <n v="65"/>
    <m/>
    <n v="65"/>
    <n v="0"/>
    <m/>
    <m/>
    <m/>
    <n v="0"/>
    <m/>
  </r>
  <r>
    <x v="31"/>
    <s v="Information Technology Project"/>
    <x v="7"/>
    <x v="5"/>
    <s v="D"/>
    <s v="PRJ6"/>
    <n v="0"/>
    <n v="40"/>
    <n v="41"/>
    <n v="0"/>
    <n v="0.6"/>
    <n v="0"/>
    <n v="65"/>
    <x v="18"/>
    <n v="65"/>
    <m/>
    <n v="65"/>
    <n v="0"/>
    <m/>
    <m/>
    <m/>
    <n v="0"/>
    <m/>
  </r>
  <r>
    <x v="31"/>
    <s v="Information Technology Project"/>
    <x v="9"/>
    <x v="6"/>
    <s v="D"/>
    <s v="PRJ6"/>
    <n v="0"/>
    <n v="40"/>
    <n v="41"/>
    <n v="0"/>
    <n v="0.6"/>
    <n v="0"/>
    <n v="65"/>
    <x v="18"/>
    <n v="65"/>
    <m/>
    <n v="65"/>
    <n v="0"/>
    <m/>
    <m/>
    <m/>
    <n v="0"/>
    <m/>
  </r>
  <r>
    <x v="31"/>
    <s v="Information Technology Project"/>
    <x v="8"/>
    <x v="6"/>
    <s v="D"/>
    <s v="PRJ6"/>
    <n v="0"/>
    <n v="40"/>
    <n v="41"/>
    <n v="0"/>
    <n v="0.6"/>
    <n v="0"/>
    <n v="65"/>
    <x v="18"/>
    <n v="65"/>
    <m/>
    <n v="65"/>
    <n v="0"/>
    <m/>
    <m/>
    <m/>
    <n v="0"/>
    <m/>
  </r>
  <r>
    <x v="31"/>
    <s v="Information Technology Project"/>
    <x v="2"/>
    <x v="2"/>
    <s v="D"/>
    <s v="PRJ6"/>
    <n v="0"/>
    <n v="10"/>
    <n v="41"/>
    <n v="0"/>
    <n v="0.6"/>
    <n v="0"/>
    <n v="47"/>
    <x v="18"/>
    <n v="47"/>
    <m/>
    <n v="47"/>
    <n v="0"/>
    <m/>
    <m/>
    <m/>
    <n v="0"/>
    <m/>
  </r>
  <r>
    <x v="32"/>
    <s v="Internet Systems Programming"/>
    <x v="1"/>
    <x v="0"/>
    <s v="D"/>
    <s v="LT1"/>
    <n v="15"/>
    <n v="9"/>
    <n v="164"/>
    <n v="34.5"/>
    <n v="0.7"/>
    <n v="1"/>
    <n v="204.8"/>
    <x v="8"/>
    <n v="170.3"/>
    <m/>
    <n v="170.3"/>
    <n v="34.5"/>
    <m/>
    <m/>
    <m/>
    <n v="34.5"/>
    <m/>
  </r>
  <r>
    <x v="32"/>
    <s v="Internet Systems Programming"/>
    <x v="1"/>
    <x v="0"/>
    <s v="X"/>
    <s v="LT2"/>
    <n v="15"/>
    <n v="5"/>
    <n v="2"/>
    <n v="22.5"/>
    <n v="0.6"/>
    <n v="1"/>
    <n v="27.5"/>
    <x v="8"/>
    <n v="5"/>
    <m/>
    <n v="5"/>
    <n v="22.5"/>
    <m/>
    <m/>
    <m/>
    <n v="22.5"/>
    <m/>
  </r>
  <r>
    <x v="33"/>
    <s v="Computer Systems and Network Management"/>
    <x v="1"/>
    <x v="0"/>
    <s v="D"/>
    <s v="LT1"/>
    <n v="15"/>
    <n v="11"/>
    <n v="164"/>
    <n v="34.5"/>
    <n v="0.7"/>
    <n v="1"/>
    <n v="206.2"/>
    <x v="6"/>
    <n v="0"/>
    <m/>
    <n v="0"/>
    <n v="206.2"/>
    <m/>
    <m/>
    <m/>
    <n v="206.2"/>
    <m/>
  </r>
  <r>
    <x v="33"/>
    <s v="Computer Systems and Network Management"/>
    <x v="1"/>
    <x v="0"/>
    <s v="X"/>
    <s v="LT2"/>
    <n v="15"/>
    <n v="5"/>
    <n v="2"/>
    <n v="22.5"/>
    <n v="0.6"/>
    <n v="1"/>
    <n v="27.5"/>
    <x v="6"/>
    <n v="0"/>
    <m/>
    <n v="0"/>
    <n v="27.5"/>
    <m/>
    <m/>
    <m/>
    <n v="27.5"/>
    <m/>
  </r>
  <r>
    <x v="34"/>
    <s v="Computer Security"/>
    <x v="0"/>
    <x v="0"/>
    <s v="D"/>
    <s v="LT1"/>
    <n v="15"/>
    <n v="25"/>
    <n v="164"/>
    <n v="34.5"/>
    <n v="0.7"/>
    <n v="2"/>
    <n v="250.5"/>
    <x v="1"/>
    <n v="181.5"/>
    <m/>
    <n v="181.5"/>
    <n v="69"/>
    <m/>
    <m/>
    <m/>
    <n v="69"/>
    <m/>
  </r>
  <r>
    <x v="34"/>
    <s v="Computer Security"/>
    <x v="0"/>
    <x v="0"/>
    <s v="X"/>
    <s v="LT2"/>
    <n v="15"/>
    <n v="5"/>
    <n v="2"/>
    <n v="22.5"/>
    <n v="0.6"/>
    <n v="1"/>
    <n v="27.5"/>
    <x v="1"/>
    <n v="5"/>
    <m/>
    <n v="5"/>
    <n v="22.5"/>
    <m/>
    <m/>
    <m/>
    <n v="22.5"/>
    <m/>
  </r>
  <r>
    <x v="35"/>
    <s v="IP Telephony"/>
    <x v="0"/>
    <x v="0"/>
    <s v="D"/>
    <s v="LT1"/>
    <n v="15"/>
    <n v="6"/>
    <n v="164"/>
    <n v="34.5"/>
    <n v="0.7"/>
    <n v="1"/>
    <n v="202.7"/>
    <x v="3"/>
    <n v="168.2"/>
    <m/>
    <n v="168.2"/>
    <n v="34.5"/>
    <m/>
    <m/>
    <m/>
    <n v="34.5"/>
    <m/>
  </r>
  <r>
    <x v="36"/>
    <s v="Advanced Network Design"/>
    <x v="0"/>
    <x v="0"/>
    <s v="D"/>
    <s v="LT1"/>
    <n v="15"/>
    <n v="20"/>
    <n v="164"/>
    <n v="34.5"/>
    <n v="0.7"/>
    <n v="2"/>
    <n v="247"/>
    <x v="19"/>
    <n v="178"/>
    <m/>
    <n v="178"/>
    <n v="69"/>
    <m/>
    <m/>
    <m/>
    <n v="69"/>
    <m/>
  </r>
  <r>
    <x v="37"/>
    <s v="Forensic Data Analysis"/>
    <x v="1"/>
    <x v="0"/>
    <s v="D"/>
    <s v="LT1"/>
    <n v="15"/>
    <n v="30"/>
    <n v="164"/>
    <n v="34.5"/>
    <n v="0.7"/>
    <n v="2"/>
    <n v="254"/>
    <x v="17"/>
    <n v="185"/>
    <m/>
    <n v="185"/>
    <n v="69"/>
    <m/>
    <m/>
    <m/>
    <n v="69"/>
    <m/>
  </r>
  <r>
    <x v="37"/>
    <s v="Forensic Data Analysis"/>
    <x v="1"/>
    <x v="0"/>
    <s v="X"/>
    <s v="LT2"/>
    <n v="15"/>
    <n v="7"/>
    <n v="2"/>
    <n v="22.5"/>
    <n v="0.6"/>
    <n v="1"/>
    <n v="28.7"/>
    <x v="17"/>
    <n v="6.2"/>
    <m/>
    <n v="6.2"/>
    <n v="22.5"/>
    <m/>
    <m/>
    <m/>
    <n v="22.5"/>
    <m/>
  </r>
  <r>
    <x v="37"/>
    <s v="Forensic Data Analysis"/>
    <x v="5"/>
    <x v="5"/>
    <s v="D"/>
    <s v="LT6"/>
    <n v="0"/>
    <n v="40"/>
    <n v="35"/>
    <n v="0"/>
    <n v="0.6"/>
    <n v="0"/>
    <n v="59"/>
    <x v="17"/>
    <n v="59"/>
    <m/>
    <n v="59"/>
    <n v="0"/>
    <m/>
    <m/>
    <m/>
    <n v="0"/>
    <m/>
  </r>
  <r>
    <x v="37"/>
    <s v="Forensic Data Analysis"/>
    <x v="10"/>
    <x v="6"/>
    <s v="D"/>
    <s v="LT6"/>
    <n v="0"/>
    <n v="40"/>
    <n v="35"/>
    <n v="0"/>
    <n v="0.6"/>
    <n v="0"/>
    <n v="59"/>
    <x v="17"/>
    <n v="59"/>
    <m/>
    <n v="59"/>
    <n v="0"/>
    <m/>
    <m/>
    <m/>
    <n v="0"/>
    <m/>
  </r>
  <r>
    <x v="38"/>
    <s v="Advanced Business Analysis and Design"/>
    <x v="0"/>
    <x v="0"/>
    <s v="D"/>
    <s v="SM1"/>
    <n v="20"/>
    <n v="20"/>
    <n v="110"/>
    <n v="66"/>
    <n v="0.7"/>
    <n v="1"/>
    <n v="190"/>
    <x v="16"/>
    <n v="124"/>
    <n v="1"/>
    <n v="190"/>
    <n v="0"/>
    <m/>
    <m/>
    <m/>
    <n v="0"/>
    <m/>
  </r>
  <r>
    <x v="38"/>
    <s v="Advanced Business Analysis and Design"/>
    <x v="0"/>
    <x v="0"/>
    <s v="X"/>
    <s v="LT2"/>
    <n v="15"/>
    <n v="6"/>
    <n v="2"/>
    <n v="22.5"/>
    <n v="0.6"/>
    <n v="1"/>
    <n v="28.1"/>
    <x v="16"/>
    <n v="5.6"/>
    <m/>
    <n v="5.6"/>
    <n v="22.5"/>
    <m/>
    <m/>
    <m/>
    <n v="22.5"/>
    <m/>
  </r>
  <r>
    <x v="38"/>
    <s v="Advanced Business Analysis and Design"/>
    <x v="5"/>
    <x v="5"/>
    <s v="D"/>
    <s v="LT6"/>
    <n v="0"/>
    <n v="40"/>
    <n v="35"/>
    <n v="0"/>
    <n v="0.6"/>
    <n v="0"/>
    <n v="59"/>
    <x v="16"/>
    <n v="59"/>
    <m/>
    <n v="59"/>
    <n v="0"/>
    <m/>
    <m/>
    <m/>
    <n v="0"/>
    <m/>
  </r>
  <r>
    <x v="38"/>
    <s v="Advanced Business Analysis and Design"/>
    <x v="7"/>
    <x v="5"/>
    <s v="D"/>
    <s v="LT6"/>
    <n v="0"/>
    <n v="40"/>
    <n v="35"/>
    <n v="0"/>
    <n v="0.6"/>
    <n v="0"/>
    <n v="59"/>
    <x v="16"/>
    <n v="59"/>
    <m/>
    <n v="59"/>
    <n v="0"/>
    <m/>
    <m/>
    <m/>
    <n v="0"/>
    <m/>
  </r>
  <r>
    <x v="38"/>
    <s v="Advanced Business Analysis and Design"/>
    <x v="10"/>
    <x v="6"/>
    <s v="D"/>
    <s v="LT6"/>
    <n v="0"/>
    <n v="40"/>
    <n v="35"/>
    <n v="0"/>
    <n v="0.6"/>
    <n v="0"/>
    <n v="59"/>
    <x v="16"/>
    <n v="59"/>
    <m/>
    <n v="59"/>
    <n v="0"/>
    <m/>
    <m/>
    <m/>
    <n v="0"/>
    <m/>
  </r>
  <r>
    <x v="38"/>
    <s v="Advanced Business Analysis and Design"/>
    <x v="3"/>
    <x v="2"/>
    <s v="D"/>
    <s v="LT6"/>
    <n v="0"/>
    <n v="10"/>
    <n v="35"/>
    <n v="0"/>
    <n v="0.6"/>
    <n v="0"/>
    <n v="41"/>
    <x v="16"/>
    <n v="41"/>
    <m/>
    <n v="41"/>
    <n v="0"/>
    <m/>
    <m/>
    <m/>
    <n v="0"/>
    <m/>
  </r>
  <r>
    <x v="38"/>
    <s v="Advanced Business Analysis and Design"/>
    <x v="0"/>
    <x v="1"/>
    <s v="D"/>
    <s v="LT4"/>
    <n v="15"/>
    <n v="10"/>
    <n v="29"/>
    <n v="34.5"/>
    <n v="0.7"/>
    <n v="1"/>
    <n v="0"/>
    <x v="7"/>
    <n v="0"/>
    <m/>
    <n v="0"/>
    <n v="0"/>
    <m/>
    <m/>
    <m/>
    <n v="0"/>
    <m/>
  </r>
  <r>
    <x v="39"/>
    <s v="Information Security Management"/>
    <x v="0"/>
    <x v="0"/>
    <s v="D"/>
    <s v="SM1"/>
    <n v="20"/>
    <n v="19"/>
    <n v="110"/>
    <n v="66"/>
    <n v="0.7"/>
    <n v="1"/>
    <n v="189.3"/>
    <x v="8"/>
    <n v="123.3"/>
    <n v="1"/>
    <n v="189.3"/>
    <n v="0"/>
    <m/>
    <m/>
    <m/>
    <n v="0"/>
    <m/>
  </r>
  <r>
    <x v="39"/>
    <s v="Information Security Management"/>
    <x v="0"/>
    <x v="0"/>
    <s v="X"/>
    <s v="LT2"/>
    <n v="15"/>
    <n v="10"/>
    <n v="2"/>
    <n v="22.5"/>
    <n v="0.6"/>
    <n v="1"/>
    <n v="30.5"/>
    <x v="8"/>
    <n v="8"/>
    <m/>
    <n v="8"/>
    <n v="22.5"/>
    <m/>
    <m/>
    <m/>
    <n v="22.5"/>
    <m/>
  </r>
  <r>
    <x v="39"/>
    <s v="Information Security Management"/>
    <x v="7"/>
    <x v="5"/>
    <s v="D"/>
    <s v="LT6"/>
    <n v="0"/>
    <n v="40"/>
    <n v="35"/>
    <n v="0"/>
    <n v="0.6"/>
    <n v="0"/>
    <n v="59"/>
    <x v="8"/>
    <n v="59"/>
    <m/>
    <n v="59"/>
    <n v="0"/>
    <m/>
    <m/>
    <m/>
    <n v="0"/>
    <m/>
  </r>
  <r>
    <x v="39"/>
    <s v="Information Security Management"/>
    <x v="9"/>
    <x v="6"/>
    <s v="D"/>
    <s v="LT6"/>
    <n v="0"/>
    <n v="40"/>
    <n v="35"/>
    <n v="0"/>
    <n v="0.6"/>
    <n v="0"/>
    <n v="59"/>
    <x v="8"/>
    <n v="59"/>
    <m/>
    <n v="59"/>
    <n v="0"/>
    <m/>
    <m/>
    <m/>
    <n v="0"/>
    <m/>
  </r>
  <r>
    <x v="39"/>
    <s v="Information Security Management"/>
    <x v="8"/>
    <x v="6"/>
    <s v="D"/>
    <s v="LT6"/>
    <n v="0"/>
    <n v="40"/>
    <n v="35"/>
    <n v="0"/>
    <n v="0.6"/>
    <n v="0"/>
    <n v="59"/>
    <x v="8"/>
    <n v="59"/>
    <m/>
    <n v="59"/>
    <n v="0"/>
    <m/>
    <m/>
    <m/>
    <n v="0"/>
    <m/>
  </r>
  <r>
    <x v="40"/>
    <s v="Network Security"/>
    <x v="1"/>
    <x v="0"/>
    <s v="D"/>
    <s v="LT1"/>
    <n v="15"/>
    <n v="24"/>
    <n v="164"/>
    <n v="34.5"/>
    <n v="0.7"/>
    <n v="2"/>
    <n v="249.8"/>
    <x v="2"/>
    <n v="180.8"/>
    <m/>
    <n v="180.8"/>
    <n v="69"/>
    <m/>
    <m/>
    <m/>
    <n v="69"/>
    <s v="Shared with Terry"/>
  </r>
  <r>
    <x v="41"/>
    <s v="Network Switching"/>
    <x v="1"/>
    <x v="0"/>
    <s v="D"/>
    <s v="LT1"/>
    <n v="15"/>
    <n v="15"/>
    <n v="164"/>
    <n v="34.5"/>
    <n v="0.7"/>
    <n v="1"/>
    <n v="209"/>
    <x v="11"/>
    <n v="174.5"/>
    <m/>
    <n v="174.5"/>
    <n v="34.5"/>
    <m/>
    <m/>
    <m/>
    <n v="34.5"/>
    <m/>
  </r>
  <r>
    <x v="42"/>
    <s v="Information Technology Research Methodologies"/>
    <x v="1"/>
    <x v="0"/>
    <s v="D"/>
    <s v="MRK"/>
    <n v="0"/>
    <n v="3"/>
    <n v="0"/>
    <n v="0"/>
    <n v="2.1"/>
    <n v="0"/>
    <n v="6.3000000000000007"/>
    <x v="16"/>
    <n v="6.3000000000000007"/>
    <n v="1"/>
    <n v="6.3000000000000007"/>
    <n v="0"/>
    <m/>
    <m/>
    <m/>
    <n v="0"/>
    <m/>
  </r>
  <r>
    <x v="43"/>
    <s v="Databases"/>
    <x v="0"/>
    <x v="0"/>
    <s v="D"/>
    <s v="LT7"/>
    <n v="15"/>
    <n v="5"/>
    <n v="12"/>
    <n v="34.5"/>
    <n v="0.7"/>
    <n v="1"/>
    <n v="50"/>
    <x v="6"/>
    <n v="0"/>
    <m/>
    <n v="0"/>
    <n v="50"/>
    <m/>
    <m/>
    <m/>
    <n v="50"/>
    <m/>
  </r>
  <r>
    <x v="43"/>
    <s v="Databases"/>
    <x v="0"/>
    <x v="0"/>
    <s v="X"/>
    <s v="MRK"/>
    <n v="0"/>
    <n v="2"/>
    <n v="0"/>
    <n v="0"/>
    <n v="2.1"/>
    <n v="0"/>
    <n v="4.2"/>
    <x v="13"/>
    <n v="4.2"/>
    <n v="1"/>
    <n v="4.2"/>
    <n v="0"/>
    <m/>
    <m/>
    <m/>
    <n v="0"/>
    <m/>
  </r>
  <r>
    <x v="44"/>
    <s v="IT Professional Practice"/>
    <x v="1"/>
    <x v="0"/>
    <s v="D"/>
    <s v="SM1"/>
    <n v="20"/>
    <n v="13"/>
    <n v="110"/>
    <n v="66"/>
    <n v="0.7"/>
    <n v="1"/>
    <n v="185.1"/>
    <x v="6"/>
    <n v="0"/>
    <m/>
    <n v="0"/>
    <n v="185.1"/>
    <m/>
    <m/>
    <m/>
    <n v="185.1"/>
    <m/>
  </r>
  <r>
    <x v="45"/>
    <s v="Systems Analysis and Design"/>
    <x v="1"/>
    <x v="0"/>
    <s v="D"/>
    <s v="LT7"/>
    <n v="15"/>
    <n v="5"/>
    <n v="12"/>
    <n v="34.5"/>
    <n v="0.7"/>
    <n v="1"/>
    <n v="50"/>
    <x v="6"/>
    <n v="0"/>
    <m/>
    <n v="0"/>
    <n v="50"/>
    <m/>
    <m/>
    <m/>
    <n v="50"/>
    <m/>
  </r>
  <r>
    <x v="45"/>
    <s v="Systems Analysis and Design"/>
    <x v="1"/>
    <x v="0"/>
    <s v="X"/>
    <s v="MRK"/>
    <n v="0"/>
    <n v="2"/>
    <n v="0"/>
    <n v="0"/>
    <n v="2.1"/>
    <n v="0"/>
    <n v="4.2"/>
    <x v="16"/>
    <n v="4.2"/>
    <n v="1"/>
    <n v="4.2"/>
    <n v="0"/>
    <m/>
    <m/>
    <m/>
    <n v="0"/>
    <m/>
  </r>
  <r>
    <x v="46"/>
    <s v="Advanced Business Analysis and Design"/>
    <x v="0"/>
    <x v="0"/>
    <s v="D"/>
    <s v="MRK"/>
    <n v="0"/>
    <n v="2"/>
    <n v="0"/>
    <n v="0"/>
    <n v="2.1"/>
    <n v="0"/>
    <n v="4.2"/>
    <x v="16"/>
    <n v="4.2"/>
    <n v="1"/>
    <n v="4.2"/>
    <n v="0"/>
    <m/>
    <m/>
    <m/>
    <n v="0"/>
    <m/>
  </r>
  <r>
    <x v="46"/>
    <s v="Advanced Business Analysis and Design"/>
    <x v="0"/>
    <x v="0"/>
    <s v="X"/>
    <s v="MRK"/>
    <n v="0"/>
    <n v="2"/>
    <n v="0"/>
    <n v="0"/>
    <n v="2.1"/>
    <n v="0"/>
    <n v="4.2"/>
    <x v="16"/>
    <n v="4.2"/>
    <n v="1"/>
    <n v="4.2"/>
    <n v="0"/>
    <m/>
    <m/>
    <m/>
    <n v="0"/>
    <m/>
  </r>
  <r>
    <x v="47"/>
    <s v="Advanced Business Data Communications"/>
    <x v="0"/>
    <x v="0"/>
    <s v="D"/>
    <s v="LT1"/>
    <n v="15"/>
    <n v="5"/>
    <n v="164"/>
    <n v="34.5"/>
    <n v="0.7"/>
    <n v="1"/>
    <n v="202"/>
    <x v="11"/>
    <n v="167.5"/>
    <m/>
    <n v="167.5"/>
    <n v="34.5"/>
    <m/>
    <m/>
    <m/>
    <n v="34.5"/>
    <m/>
  </r>
  <r>
    <x v="48"/>
    <s v="Computer Security"/>
    <x v="0"/>
    <x v="0"/>
    <s v="D"/>
    <s v="LT7"/>
    <n v="15"/>
    <n v="11"/>
    <n v="12"/>
    <n v="34.5"/>
    <n v="0.7"/>
    <n v="1"/>
    <n v="54.2"/>
    <x v="1"/>
    <n v="19.7"/>
    <m/>
    <n v="19.7"/>
    <n v="34.5"/>
    <m/>
    <m/>
    <m/>
    <n v="34.5"/>
    <m/>
  </r>
  <r>
    <x v="48"/>
    <s v="Computer Security"/>
    <x v="0"/>
    <x v="0"/>
    <s v="X"/>
    <s v="MRK"/>
    <n v="0"/>
    <n v="2"/>
    <n v="0"/>
    <n v="0"/>
    <n v="2.1"/>
    <n v="0"/>
    <n v="4.2"/>
    <x v="1"/>
    <n v="4.2"/>
    <n v="1"/>
    <n v="4.2"/>
    <n v="0"/>
    <m/>
    <m/>
    <m/>
    <n v="0"/>
    <m/>
  </r>
  <r>
    <x v="49"/>
    <s v="LAN Design and Implementation"/>
    <x v="1"/>
    <x v="0"/>
    <s v="D"/>
    <s v="LT1"/>
    <n v="15"/>
    <n v="24"/>
    <n v="164"/>
    <n v="34.5"/>
    <n v="0.7"/>
    <n v="2"/>
    <n v="249.8"/>
    <x v="6"/>
    <n v="0"/>
    <m/>
    <n v="0"/>
    <n v="249.8"/>
    <m/>
    <m/>
    <m/>
    <n v="249.8"/>
    <m/>
  </r>
  <r>
    <x v="50"/>
    <s v="Cyber Forensics"/>
    <x v="1"/>
    <x v="0"/>
    <s v="D"/>
    <s v="LT7"/>
    <n v="15"/>
    <n v="5"/>
    <n v="12"/>
    <n v="34.5"/>
    <n v="0.7"/>
    <n v="1"/>
    <n v="50"/>
    <x v="17"/>
    <n v="15.5"/>
    <m/>
    <n v="15.5"/>
    <n v="34.5"/>
    <m/>
    <m/>
    <m/>
    <n v="34.5"/>
    <m/>
  </r>
  <r>
    <x v="50"/>
    <s v="Cyber Forensics"/>
    <x v="1"/>
    <x v="0"/>
    <s v="X"/>
    <s v="MRK"/>
    <n v="0"/>
    <n v="2"/>
    <n v="0"/>
    <n v="0"/>
    <n v="2.1"/>
    <n v="0"/>
    <n v="4.2"/>
    <x v="17"/>
    <n v="4.2"/>
    <n v="1"/>
    <n v="4.2"/>
    <n v="0"/>
    <m/>
    <m/>
    <m/>
    <n v="0"/>
    <m/>
  </r>
  <r>
    <x v="51"/>
    <s v="Knowledge Management Techniques"/>
    <x v="1"/>
    <x v="0"/>
    <s v="D"/>
    <s v="LT7"/>
    <n v="15"/>
    <n v="5"/>
    <n v="12"/>
    <n v="34.5"/>
    <n v="0.7"/>
    <n v="1"/>
    <n v="50"/>
    <x v="9"/>
    <n v="15.5"/>
    <m/>
    <n v="15.5"/>
    <n v="34.5"/>
    <m/>
    <m/>
    <m/>
    <n v="34.5"/>
    <m/>
  </r>
  <r>
    <x v="51"/>
    <s v="Knowledge Management Techniques"/>
    <x v="1"/>
    <x v="0"/>
    <s v="X"/>
    <s v="MRK"/>
    <n v="0"/>
    <n v="2"/>
    <n v="0"/>
    <n v="0"/>
    <n v="2.1"/>
    <n v="0"/>
    <n v="4.2"/>
    <x v="9"/>
    <n v="4.2"/>
    <n v="1"/>
    <n v="4.2"/>
    <n v="0"/>
    <m/>
    <m/>
    <m/>
    <n v="0"/>
    <m/>
  </r>
  <r>
    <x v="52"/>
    <s v="Information Security Management"/>
    <x v="0"/>
    <x v="0"/>
    <s v="D"/>
    <s v="SM1"/>
    <n v="20"/>
    <n v="10"/>
    <n v="110"/>
    <n v="66"/>
    <n v="0.7"/>
    <n v="1"/>
    <n v="183"/>
    <x v="8"/>
    <n v="117"/>
    <n v="1"/>
    <n v="183"/>
    <n v="0"/>
    <m/>
    <m/>
    <m/>
    <n v="0"/>
    <m/>
  </r>
  <r>
    <x v="52"/>
    <s v="Information Security Management"/>
    <x v="0"/>
    <x v="0"/>
    <s v="X"/>
    <s v="MRK"/>
    <n v="0"/>
    <n v="2"/>
    <n v="0"/>
    <n v="0"/>
    <n v="2.1"/>
    <n v="0"/>
    <n v="4.2"/>
    <x v="8"/>
    <n v="4.2"/>
    <n v="1"/>
    <n v="4.2"/>
    <n v="0"/>
    <m/>
    <m/>
    <m/>
    <n v="0"/>
    <m/>
  </r>
  <r>
    <x v="53"/>
    <s v="Wireless Networks"/>
    <x v="0"/>
    <x v="0"/>
    <s v="D"/>
    <s v="LT7"/>
    <n v="15"/>
    <n v="10"/>
    <n v="12"/>
    <n v="34.5"/>
    <n v="0.7"/>
    <n v="1"/>
    <n v="53.5"/>
    <x v="2"/>
    <n v="19"/>
    <m/>
    <n v="19"/>
    <n v="34.5"/>
    <m/>
    <m/>
    <m/>
    <n v="34.5"/>
    <m/>
  </r>
  <r>
    <x v="54"/>
    <s v="Knowledge and Information Security"/>
    <x v="0"/>
    <x v="0"/>
    <s v="D"/>
    <s v="LT7"/>
    <n v="15"/>
    <n v="10"/>
    <n v="12"/>
    <n v="34.5"/>
    <n v="0.7"/>
    <n v="1"/>
    <n v="53.5"/>
    <x v="17"/>
    <n v="19"/>
    <m/>
    <n v="19"/>
    <n v="34.5"/>
    <m/>
    <m/>
    <m/>
    <n v="34.5"/>
    <m/>
  </r>
  <r>
    <x v="54"/>
    <s v="Knowledge and Information Security"/>
    <x v="0"/>
    <x v="0"/>
    <s v="X"/>
    <s v="MRK"/>
    <n v="0"/>
    <n v="2"/>
    <n v="0"/>
    <n v="0"/>
    <n v="2.1"/>
    <n v="0"/>
    <n v="4.2"/>
    <x v="17"/>
    <n v="4.2"/>
    <n v="1"/>
    <n v="4.2"/>
    <n v="0"/>
    <m/>
    <m/>
    <m/>
    <n v="0"/>
    <m/>
  </r>
  <r>
    <x v="55"/>
    <s v="Human Factors in Information Technology"/>
    <x v="1"/>
    <x v="0"/>
    <s v="D"/>
    <s v="SM1"/>
    <n v="20"/>
    <n v="15"/>
    <n v="110"/>
    <n v="66"/>
    <n v="0.7"/>
    <n v="1"/>
    <n v="186.5"/>
    <x v="15"/>
    <n v="120.5"/>
    <n v="1"/>
    <n v="186.5"/>
    <n v="0"/>
    <m/>
    <m/>
    <m/>
    <n v="0"/>
    <m/>
  </r>
  <r>
    <x v="56"/>
    <s v="Data Resources Management"/>
    <x v="0"/>
    <x v="0"/>
    <s v="D"/>
    <s v="SM1"/>
    <n v="20"/>
    <n v="10"/>
    <n v="110"/>
    <n v="66"/>
    <n v="0.7"/>
    <n v="1"/>
    <n v="183"/>
    <x v="6"/>
    <n v="0"/>
    <m/>
    <n v="0"/>
    <n v="183"/>
    <m/>
    <m/>
    <m/>
    <n v="183"/>
    <m/>
  </r>
  <r>
    <x v="57"/>
    <s v="Advanced IT Study Project"/>
    <x v="1"/>
    <x v="0"/>
    <s v="D"/>
    <s v="IND1"/>
    <n v="1"/>
    <n v="5"/>
    <n v="3"/>
    <n v="15"/>
    <n v="0.35"/>
    <n v="5"/>
    <n v="79.75"/>
    <x v="6"/>
    <n v="0"/>
    <m/>
    <n v="0"/>
    <n v="79.75"/>
    <n v="5"/>
    <m/>
    <m/>
    <n v="4.75"/>
    <m/>
  </r>
  <r>
    <x v="57"/>
    <s v="Advanced IT Study Project"/>
    <x v="1"/>
    <x v="0"/>
    <s v="X"/>
    <s v="IND1"/>
    <n v="1"/>
    <n v="2"/>
    <n v="3"/>
    <n v="15"/>
    <n v="0.35"/>
    <n v="2"/>
    <n v="33.700000000000003"/>
    <x v="6"/>
    <n v="0"/>
    <m/>
    <n v="0"/>
    <n v="33.700000000000003"/>
    <n v="2"/>
    <m/>
    <m/>
    <n v="3.7000000000000028"/>
    <m/>
  </r>
  <r>
    <x v="57"/>
    <s v="Advanced IT Study Project"/>
    <x v="0"/>
    <x v="0"/>
    <s v="D"/>
    <s v="IND1"/>
    <n v="1"/>
    <n v="5"/>
    <n v="3"/>
    <n v="15"/>
    <n v="0.35"/>
    <n v="5"/>
    <n v="79.75"/>
    <x v="6"/>
    <n v="0"/>
    <m/>
    <n v="0"/>
    <n v="79.75"/>
    <m/>
    <m/>
    <m/>
    <n v="79.75"/>
    <m/>
  </r>
  <r>
    <x v="57"/>
    <s v="Advanced IT Study Project"/>
    <x v="0"/>
    <x v="0"/>
    <s v="X"/>
    <s v="IND1"/>
    <n v="1"/>
    <n v="2"/>
    <n v="3"/>
    <n v="15"/>
    <n v="0.35"/>
    <n v="2"/>
    <n v="33.700000000000003"/>
    <x v="6"/>
    <n v="0"/>
    <m/>
    <n v="0"/>
    <n v="33.700000000000003"/>
    <m/>
    <m/>
    <m/>
    <n v="33.700000000000003"/>
    <m/>
  </r>
  <r>
    <x v="58"/>
    <s v="Information Technology Project Management"/>
    <x v="1"/>
    <x v="0"/>
    <s v="D"/>
    <s v="SM1"/>
    <n v="20"/>
    <n v="15"/>
    <n v="110"/>
    <n v="66"/>
    <n v="0.7"/>
    <n v="1"/>
    <n v="186.5"/>
    <x v="4"/>
    <n v="120.5"/>
    <n v="1"/>
    <n v="186.5"/>
    <n v="0"/>
    <m/>
    <m/>
    <m/>
    <n v="0"/>
    <m/>
  </r>
  <r>
    <x v="59"/>
    <s v="Intelligent Systems Applications"/>
    <x v="0"/>
    <x v="0"/>
    <s v="D"/>
    <s v="SM1"/>
    <n v="20"/>
    <n v="11"/>
    <n v="110"/>
    <n v="66"/>
    <n v="0.7"/>
    <n v="1"/>
    <n v="183.7"/>
    <x v="15"/>
    <n v="117.7"/>
    <n v="1"/>
    <n v="183.7"/>
    <n v="0"/>
    <m/>
    <m/>
    <m/>
    <n v="0"/>
    <m/>
  </r>
  <r>
    <x v="60"/>
    <s v="Information Technology Strategy"/>
    <x v="0"/>
    <x v="0"/>
    <s v="D"/>
    <s v="SM1"/>
    <n v="20"/>
    <n v="10"/>
    <n v="110"/>
    <n v="66"/>
    <n v="0.7"/>
    <n v="1"/>
    <n v="183"/>
    <x v="6"/>
    <n v="0"/>
    <m/>
    <n v="0"/>
    <n v="183"/>
    <m/>
    <m/>
    <m/>
    <n v="183"/>
    <m/>
  </r>
  <r>
    <x v="61"/>
    <s v="Computer Systems and Network Management"/>
    <x v="1"/>
    <x v="0"/>
    <s v="D"/>
    <s v="LT7"/>
    <n v="15"/>
    <n v="10"/>
    <n v="12"/>
    <n v="34.5"/>
    <n v="0.7"/>
    <n v="1"/>
    <n v="53.5"/>
    <x v="8"/>
    <n v="19"/>
    <m/>
    <n v="19"/>
    <n v="34.5"/>
    <m/>
    <m/>
    <m/>
    <n v="34.5"/>
    <m/>
  </r>
  <r>
    <x v="61"/>
    <s v="Computer Systems and Network Management"/>
    <x v="1"/>
    <x v="0"/>
    <s v="X"/>
    <s v="MRK"/>
    <n v="0"/>
    <n v="2"/>
    <n v="0"/>
    <n v="0"/>
    <n v="2.1"/>
    <n v="0"/>
    <n v="4.2"/>
    <x v="8"/>
    <n v="4.2"/>
    <n v="1"/>
    <n v="4.2"/>
    <n v="0"/>
    <m/>
    <m/>
    <m/>
    <n v="0"/>
    <m/>
  </r>
  <r>
    <x v="62"/>
    <s v="IP Telephony"/>
    <x v="0"/>
    <x v="0"/>
    <s v="D"/>
    <s v="LT7"/>
    <n v="15"/>
    <n v="10"/>
    <n v="12"/>
    <n v="34.5"/>
    <n v="0.7"/>
    <n v="1"/>
    <n v="53.5"/>
    <x v="3"/>
    <n v="19"/>
    <m/>
    <n v="19"/>
    <n v="34.5"/>
    <m/>
    <m/>
    <m/>
    <n v="34.5"/>
    <m/>
  </r>
  <r>
    <x v="63"/>
    <s v="Advanced Network Design"/>
    <x v="0"/>
    <x v="0"/>
    <s v="D"/>
    <s v="LT7"/>
    <n v="15"/>
    <n v="5"/>
    <n v="12"/>
    <n v="34.5"/>
    <n v="0.7"/>
    <n v="1"/>
    <n v="50"/>
    <x v="19"/>
    <n v="15.5"/>
    <m/>
    <n v="15.5"/>
    <n v="34.5"/>
    <m/>
    <m/>
    <m/>
    <n v="34.5"/>
    <m/>
  </r>
  <r>
    <x v="64"/>
    <s v="Forensic Data Analysis"/>
    <x v="1"/>
    <x v="0"/>
    <s v="D"/>
    <s v="LT7"/>
    <n v="15"/>
    <n v="5"/>
    <n v="12"/>
    <n v="34.5"/>
    <n v="0.7"/>
    <n v="1"/>
    <n v="50"/>
    <x v="17"/>
    <n v="15.5"/>
    <m/>
    <n v="15.5"/>
    <n v="34.5"/>
    <m/>
    <m/>
    <m/>
    <n v="34.5"/>
    <m/>
  </r>
  <r>
    <x v="64"/>
    <s v="Forensic Data Analysis"/>
    <x v="1"/>
    <x v="0"/>
    <s v="X"/>
    <s v="MRK"/>
    <n v="0"/>
    <n v="2"/>
    <n v="0"/>
    <n v="0"/>
    <n v="2.1"/>
    <n v="0"/>
    <n v="4.2"/>
    <x v="17"/>
    <n v="4.2"/>
    <n v="1"/>
    <n v="4.2"/>
    <n v="0"/>
    <m/>
    <m/>
    <m/>
    <n v="0"/>
    <m/>
  </r>
  <r>
    <x v="65"/>
    <s v="Information Technology Research Methodologies"/>
    <x v="1"/>
    <x v="0"/>
    <s v="D"/>
    <s v="SM1"/>
    <n v="20"/>
    <n v="15"/>
    <n v="110"/>
    <n v="66"/>
    <n v="0.7"/>
    <n v="1"/>
    <n v="186.5"/>
    <x v="16"/>
    <n v="120.5"/>
    <n v="1"/>
    <n v="186.5"/>
    <n v="0"/>
    <m/>
    <m/>
    <m/>
    <n v="0"/>
    <m/>
  </r>
  <r>
    <x v="66"/>
    <s v="Network Switching"/>
    <x v="1"/>
    <x v="0"/>
    <s v="D"/>
    <s v="LT7"/>
    <n v="15"/>
    <n v="5"/>
    <n v="12"/>
    <n v="34.5"/>
    <n v="0.7"/>
    <n v="1"/>
    <n v="50"/>
    <x v="11"/>
    <n v="15.5"/>
    <m/>
    <n v="15.5"/>
    <n v="34.5"/>
    <m/>
    <m/>
    <m/>
    <n v="34.5"/>
    <m/>
  </r>
  <r>
    <x v="67"/>
    <s v="Network Security"/>
    <x v="1"/>
    <x v="0"/>
    <s v="D"/>
    <s v="LT7"/>
    <n v="15"/>
    <n v="5"/>
    <n v="12"/>
    <n v="34.5"/>
    <n v="0.7"/>
    <n v="1"/>
    <n v="50"/>
    <x v="2"/>
    <n v="15.5"/>
    <m/>
    <n v="15.5"/>
    <n v="34.5"/>
    <m/>
    <m/>
    <m/>
    <n v="34.5"/>
    <s v="Shared with Terry"/>
  </r>
  <r>
    <x v="68"/>
    <s v="Structured Workplace Learning Placement - IT"/>
    <x v="1"/>
    <x v="0"/>
    <s v="D"/>
    <s v="WKP1"/>
    <n v="1"/>
    <n v="2"/>
    <n v="15"/>
    <n v="15"/>
    <n v="0.35"/>
    <n v="2"/>
    <n v="45.7"/>
    <x v="18"/>
    <n v="15.7"/>
    <m/>
    <n v="15.7"/>
    <n v="30.000000000000004"/>
    <m/>
    <m/>
    <m/>
    <n v="30.000000000000004"/>
    <m/>
  </r>
  <r>
    <x v="68"/>
    <s v="Structured Workplace Learning Placement - IT"/>
    <x v="0"/>
    <x v="0"/>
    <s v="D"/>
    <s v="WKP1"/>
    <n v="1"/>
    <n v="2"/>
    <n v="15"/>
    <n v="15"/>
    <n v="0.35"/>
    <n v="2"/>
    <n v="45.7"/>
    <x v="3"/>
    <n v="15.7"/>
    <m/>
    <n v="15.7"/>
    <n v="30.000000000000004"/>
    <m/>
    <m/>
    <m/>
    <n v="30.000000000000004"/>
    <m/>
  </r>
  <r>
    <x v="69"/>
    <s v="Next Life"/>
    <x v="1"/>
    <x v="0"/>
    <s v="D"/>
    <s v="FDN1"/>
    <n v="15"/>
    <n v="300"/>
    <n v="53"/>
    <n v="36"/>
    <n v="0.2"/>
    <n v="20"/>
    <n v="833"/>
    <x v="9"/>
    <n v="113"/>
    <m/>
    <n v="113"/>
    <n v="720"/>
    <m/>
    <m/>
    <m/>
    <n v="720"/>
    <m/>
  </r>
  <r>
    <x v="69"/>
    <s v="Next Life"/>
    <x v="1"/>
    <x v="0"/>
    <s v="X"/>
    <s v="LT2"/>
    <n v="15"/>
    <n v="30"/>
    <n v="2"/>
    <n v="22.5"/>
    <n v="0.6"/>
    <n v="2"/>
    <n v="65"/>
    <x v="9"/>
    <n v="20"/>
    <m/>
    <n v="20"/>
    <n v="45"/>
    <m/>
    <m/>
    <m/>
    <n v="45"/>
    <m/>
  </r>
  <r>
    <x v="69"/>
    <s v="Next Life"/>
    <x v="5"/>
    <x v="5"/>
    <s v="D"/>
    <s v="LT6"/>
    <n v="0"/>
    <n v="15"/>
    <n v="35"/>
    <n v="0"/>
    <n v="0.6"/>
    <n v="0"/>
    <n v="44"/>
    <x v="9"/>
    <n v="44"/>
    <m/>
    <n v="44"/>
    <n v="0"/>
    <m/>
    <m/>
    <m/>
    <n v="0"/>
    <m/>
  </r>
  <r>
    <x v="69"/>
    <s v="Next Life"/>
    <x v="6"/>
    <x v="5"/>
    <s v="D"/>
    <s v="LT6"/>
    <n v="0"/>
    <n v="15"/>
    <n v="35"/>
    <n v="0"/>
    <n v="0.6"/>
    <n v="0"/>
    <n v="44"/>
    <x v="6"/>
    <n v="0"/>
    <m/>
    <n v="0"/>
    <n v="44"/>
    <m/>
    <m/>
    <m/>
    <n v="44"/>
    <m/>
  </r>
  <r>
    <x v="69"/>
    <s v="Next Life"/>
    <x v="7"/>
    <x v="5"/>
    <s v="D"/>
    <s v="LT6"/>
    <n v="0"/>
    <n v="15"/>
    <n v="35"/>
    <n v="0"/>
    <n v="0.6"/>
    <n v="0"/>
    <n v="44"/>
    <x v="6"/>
    <n v="0"/>
    <m/>
    <n v="0"/>
    <n v="44"/>
    <m/>
    <m/>
    <m/>
    <n v="44"/>
    <m/>
  </r>
  <r>
    <x v="69"/>
    <s v="Next Life"/>
    <x v="2"/>
    <x v="2"/>
    <s v="D"/>
    <s v="LT6"/>
    <n v="0"/>
    <n v="50"/>
    <n v="35"/>
    <n v="0"/>
    <n v="0.6"/>
    <n v="0"/>
    <n v="65"/>
    <x v="6"/>
    <n v="0"/>
    <m/>
    <n v="0"/>
    <n v="65"/>
    <m/>
    <m/>
    <m/>
    <n v="65"/>
    <m/>
  </r>
  <r>
    <x v="69"/>
    <s v="Next Life"/>
    <x v="3"/>
    <x v="2"/>
    <s v="D"/>
    <s v="LT6"/>
    <n v="0"/>
    <n v="50"/>
    <n v="35"/>
    <n v="0"/>
    <n v="0.6"/>
    <n v="0"/>
    <n v="65"/>
    <x v="9"/>
    <n v="65"/>
    <m/>
    <n v="65"/>
    <n v="0"/>
    <m/>
    <m/>
    <m/>
    <n v="0"/>
    <m/>
  </r>
  <r>
    <x v="69"/>
    <s v="Next Life"/>
    <x v="4"/>
    <x v="4"/>
    <s v="D"/>
    <s v="LT6"/>
    <n v="0"/>
    <n v="20"/>
    <n v="35"/>
    <n v="0"/>
    <n v="0.6"/>
    <n v="0"/>
    <n v="47"/>
    <x v="9"/>
    <n v="47"/>
    <m/>
    <n v="47"/>
    <n v="0"/>
    <m/>
    <m/>
    <m/>
    <n v="0"/>
    <m/>
  </r>
  <r>
    <x v="70"/>
    <s v="Knowledge and Information Security (OUA)"/>
    <x v="11"/>
    <x v="7"/>
    <s v="X"/>
    <s v="LT3"/>
    <n v="15"/>
    <n v="60"/>
    <n v="28"/>
    <n v="22.5"/>
    <n v="0.6"/>
    <n v="4"/>
    <n v="154"/>
    <x v="17"/>
    <n v="64"/>
    <m/>
    <n v="64"/>
    <n v="90"/>
    <m/>
    <m/>
    <n v="4"/>
    <n v="0"/>
    <m/>
  </r>
  <r>
    <x v="70"/>
    <s v="Knowledge and Information Security (OUA)"/>
    <x v="12"/>
    <x v="7"/>
    <s v="X"/>
    <s v="LT3"/>
    <n v="15"/>
    <n v="60"/>
    <n v="28"/>
    <n v="22.5"/>
    <n v="0.6"/>
    <n v="4"/>
    <n v="154"/>
    <x v="17"/>
    <n v="64"/>
    <m/>
    <n v="64"/>
    <n v="90"/>
    <m/>
    <m/>
    <n v="4"/>
    <n v="0"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  <r>
    <x v="71"/>
    <m/>
    <x v="13"/>
    <x v="8"/>
    <m/>
    <m/>
    <m/>
    <m/>
    <m/>
    <m/>
    <m/>
    <m/>
    <m/>
    <x v="2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1">
  <location ref="A3:K11" firstHeaderRow="1" firstDataRow="2" firstDataCol="1" rowPageCount="1" colPageCount="1"/>
  <pivotFields count="23">
    <pivotField axis="axisRow" showAll="0">
      <items count="73">
        <item x="6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70"/>
        <item x="68"/>
        <item x="71"/>
        <item t="default"/>
      </items>
    </pivotField>
    <pivotField showAll="0"/>
    <pivotField axis="axisCol" showAll="0">
      <items count="15">
        <item x="2"/>
        <item x="3"/>
        <item x="11"/>
        <item x="12"/>
        <item x="1"/>
        <item x="4"/>
        <item x="0"/>
        <item x="5"/>
        <item x="9"/>
        <item x="6"/>
        <item x="10"/>
        <item x="7"/>
        <item x="8"/>
        <item x="13"/>
        <item t="default"/>
      </items>
    </pivotField>
    <pivotField showAll="0">
      <items count="10">
        <item x="2"/>
        <item x="5"/>
        <item x="4"/>
        <item x="0"/>
        <item x="7"/>
        <item x="3"/>
        <item x="1"/>
        <item x="6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2">
        <item x="6"/>
        <item x="5"/>
        <item x="17"/>
        <item x="18"/>
        <item x="4"/>
        <item x="19"/>
        <item x="9"/>
        <item x="3"/>
        <item x="11"/>
        <item x="8"/>
        <item x="15"/>
        <item n="Staff 12" x="16"/>
        <item x="2"/>
        <item x="1"/>
        <item x="12"/>
        <item x="0"/>
        <item x="13"/>
        <item x="10"/>
        <item x="14"/>
        <item x="7"/>
        <item x="20"/>
        <item t="default"/>
      </items>
    </pivotField>
    <pivotField showAll="0"/>
    <pivotField showAll="0"/>
    <pivotField dataField="1" showAll="0"/>
    <pivotField showAll="0"/>
    <pivotField showAll="0"/>
    <pivotField showAll="0" defaultSubtotal="0"/>
    <pivotField showAll="0"/>
    <pivotField showAll="0"/>
    <pivotField showAll="0"/>
  </pivotFields>
  <rowFields count="1">
    <field x="0"/>
  </rowFields>
  <rowItems count="7">
    <i>
      <x v="17"/>
    </i>
    <i>
      <x v="39"/>
    </i>
    <i>
      <x v="43"/>
    </i>
    <i>
      <x v="46"/>
    </i>
    <i>
      <x v="47"/>
    </i>
    <i>
      <x v="66"/>
    </i>
    <i t="grand">
      <x/>
    </i>
  </rowItems>
  <colFields count="1">
    <field x="2"/>
  </colFields>
  <colItems count="10">
    <i>
      <x/>
    </i>
    <i>
      <x v="1"/>
    </i>
    <i>
      <x v="4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13" item="11" hier="-1"/>
  </pageFields>
  <dataFields count="1">
    <dataField name="Sum of Coordinator workload this offering" fld="16" baseField="0" baseItem="0" numFmtId="1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Q28"/>
  <sheetViews>
    <sheetView tabSelected="1" workbookViewId="0">
      <selection activeCell="N3" sqref="N3"/>
    </sheetView>
  </sheetViews>
  <sheetFormatPr baseColWidth="10" defaultColWidth="8.83203125" defaultRowHeight="15" x14ac:dyDescent="0.2"/>
  <cols>
    <col min="1" max="1" width="20.33203125" customWidth="1"/>
    <col min="2" max="2" width="9.83203125" customWidth="1"/>
    <col min="3" max="3" width="11" customWidth="1"/>
    <col min="4" max="4" width="10.5" customWidth="1"/>
    <col min="5" max="5" width="10.83203125" customWidth="1"/>
    <col min="6" max="6" width="12.83203125" customWidth="1"/>
    <col min="7" max="7" width="12.6640625" customWidth="1"/>
    <col min="8" max="9" width="10.33203125" customWidth="1"/>
    <col min="10" max="10" width="9.5" customWidth="1"/>
    <col min="11" max="11" width="11.1640625" customWidth="1"/>
    <col min="12" max="12" width="21.5" customWidth="1"/>
    <col min="13" max="13" width="11.5" customWidth="1"/>
    <col min="15" max="15" width="72.33203125" bestFit="1" customWidth="1"/>
  </cols>
  <sheetData>
    <row r="1" spans="1:17" ht="35.25" customHeight="1" x14ac:dyDescent="0.2">
      <c r="A1" s="87" t="s">
        <v>368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</row>
    <row r="2" spans="1:17" ht="42" customHeight="1" x14ac:dyDescent="0.2">
      <c r="A2" s="102" t="s">
        <v>402</v>
      </c>
      <c r="B2" s="102"/>
      <c r="C2" s="75" t="s">
        <v>403</v>
      </c>
      <c r="H2" s="75"/>
      <c r="I2" s="75"/>
      <c r="J2" s="75"/>
      <c r="K2" s="75"/>
      <c r="L2" s="78"/>
      <c r="M2" s="78"/>
    </row>
    <row r="3" spans="1:17" ht="15.75" customHeight="1" x14ac:dyDescent="0.2">
      <c r="A3" s="79"/>
      <c r="B3" s="118"/>
      <c r="C3" s="79"/>
      <c r="D3" s="128"/>
      <c r="E3" s="152" t="s">
        <v>306</v>
      </c>
      <c r="F3" s="153"/>
      <c r="G3" s="154"/>
      <c r="H3" s="155" t="s">
        <v>31</v>
      </c>
      <c r="I3" s="156"/>
      <c r="J3" s="157" t="s">
        <v>32</v>
      </c>
      <c r="K3" s="158"/>
      <c r="L3" s="159"/>
      <c r="M3" s="106"/>
      <c r="N3" s="103">
        <v>1725</v>
      </c>
      <c r="O3" s="79"/>
    </row>
    <row r="4" spans="1:17" s="20" customFormat="1" ht="49.5" customHeight="1" x14ac:dyDescent="0.2">
      <c r="A4" s="80" t="s">
        <v>300</v>
      </c>
      <c r="B4" s="119" t="s">
        <v>367</v>
      </c>
      <c r="C4" s="80" t="s">
        <v>302</v>
      </c>
      <c r="D4" s="80" t="s">
        <v>343</v>
      </c>
      <c r="E4" s="123" t="s">
        <v>303</v>
      </c>
      <c r="F4" s="108" t="s">
        <v>388</v>
      </c>
      <c r="G4" s="109" t="s">
        <v>304</v>
      </c>
      <c r="H4" s="82" t="s">
        <v>307</v>
      </c>
      <c r="I4" s="109" t="s">
        <v>309</v>
      </c>
      <c r="J4" s="81" t="s">
        <v>308</v>
      </c>
      <c r="K4" s="105" t="s">
        <v>310</v>
      </c>
      <c r="L4" s="105" t="s">
        <v>387</v>
      </c>
      <c r="M4" s="105" t="s">
        <v>392</v>
      </c>
      <c r="N4" s="81" t="s">
        <v>305</v>
      </c>
      <c r="O4" s="104" t="s">
        <v>357</v>
      </c>
    </row>
    <row r="5" spans="1:17" x14ac:dyDescent="0.2">
      <c r="A5" s="78" t="s">
        <v>446</v>
      </c>
      <c r="B5" s="120">
        <v>0.3</v>
      </c>
      <c r="C5" s="76">
        <f ca="1">SUM(E5:K5)+M5</f>
        <v>827.65000000000009</v>
      </c>
      <c r="D5" s="76">
        <f>COUNTIF(OFFERINGS!$Q$3:$Q$268,A5)</f>
        <v>2</v>
      </c>
      <c r="E5" s="76">
        <f ca="1">SUMIF(OFFERINGS!$Q$3:$Q$268,A5,OFFERINGS!$T$3:$T$268)</f>
        <v>272.40000000000003</v>
      </c>
      <c r="F5" s="101">
        <f>SUMIF(TUTORIALS!$H$5:$H$302,A5,TUTORIALS!$J$5:$J$302)</f>
        <v>0</v>
      </c>
      <c r="G5" s="127">
        <v>400</v>
      </c>
      <c r="H5" s="78">
        <f>N5*0.2</f>
        <v>103.5</v>
      </c>
      <c r="I5" s="110"/>
      <c r="J5" s="78">
        <f>N5*0.1</f>
        <v>51.75</v>
      </c>
      <c r="K5" s="113"/>
      <c r="L5" s="113"/>
      <c r="M5" s="110"/>
      <c r="N5" s="73">
        <f t="shared" ref="N5:N24" si="0">B5*$N$3</f>
        <v>517.5</v>
      </c>
      <c r="O5" s="127" t="s">
        <v>414</v>
      </c>
    </row>
    <row r="6" spans="1:17" x14ac:dyDescent="0.2">
      <c r="A6" s="140" t="s">
        <v>447</v>
      </c>
      <c r="B6" s="121">
        <v>1</v>
      </c>
      <c r="C6" s="76">
        <f t="shared" ref="C6:C24" ca="1" si="1">SUM(E6:K6)+M6</f>
        <v>1663.3000000000002</v>
      </c>
      <c r="D6" s="76">
        <f>COUNTIF(OFFERINGS!$Q$3:$Q$268,A6)</f>
        <v>18</v>
      </c>
      <c r="E6" s="76">
        <f ca="1">SUMIF(OFFERINGS!$Q$3:$Q$268,A6,OFFERINGS!$T$3:$T$268)</f>
        <v>1045.8000000000002</v>
      </c>
      <c r="F6" s="101">
        <f>SUMIF(TUTORIALS!$H$5:$H$302,A6,TUTORIALS!$J$5:$J$302)</f>
        <v>0</v>
      </c>
      <c r="G6" s="127">
        <v>100</v>
      </c>
      <c r="H6" s="78">
        <f t="shared" ref="H6:H24" si="2">N6*0.2</f>
        <v>345</v>
      </c>
      <c r="I6" s="111"/>
      <c r="J6" s="78">
        <f t="shared" ref="J6:J24" si="3">N6*0.1</f>
        <v>172.5</v>
      </c>
      <c r="K6" s="111"/>
      <c r="L6" s="111"/>
      <c r="M6" s="111"/>
      <c r="N6" s="73">
        <f t="shared" si="0"/>
        <v>1725</v>
      </c>
      <c r="O6" s="127" t="s">
        <v>386</v>
      </c>
      <c r="Q6" s="78"/>
    </row>
    <row r="7" spans="1:17" x14ac:dyDescent="0.2">
      <c r="A7" s="140" t="s">
        <v>448</v>
      </c>
      <c r="B7" s="121">
        <v>1</v>
      </c>
      <c r="C7" s="76">
        <f t="shared" ca="1" si="1"/>
        <v>2590.9</v>
      </c>
      <c r="D7" s="76">
        <f>COUNTIF(OFFERINGS!$Q$3:$Q$268,A7)</f>
        <v>14</v>
      </c>
      <c r="E7" s="76">
        <f ca="1">SUMIF(OFFERINGS!$Q$3:$Q$268,A7,OFFERINGS!$T$3:$T$268)</f>
        <v>865.90000000000009</v>
      </c>
      <c r="F7" s="101">
        <f>SUMIF(TUTORIALS!$H$5:$H$302,A7,TUTORIALS!$J$5:$J$302)</f>
        <v>0</v>
      </c>
      <c r="G7" s="127"/>
      <c r="H7" s="78">
        <f t="shared" si="2"/>
        <v>345</v>
      </c>
      <c r="I7" s="111"/>
      <c r="J7" s="78">
        <f t="shared" si="3"/>
        <v>172.5</v>
      </c>
      <c r="K7" s="111">
        <v>1207.5</v>
      </c>
      <c r="L7" s="111" t="s">
        <v>396</v>
      </c>
      <c r="M7" s="111"/>
      <c r="N7" s="73">
        <f t="shared" si="0"/>
        <v>1725</v>
      </c>
      <c r="O7" s="127" t="s">
        <v>415</v>
      </c>
    </row>
    <row r="8" spans="1:17" x14ac:dyDescent="0.2">
      <c r="A8" s="78" t="s">
        <v>449</v>
      </c>
      <c r="B8" s="121">
        <v>1</v>
      </c>
      <c r="C8" s="76">
        <f t="shared" ca="1" si="1"/>
        <v>1801.9499999999998</v>
      </c>
      <c r="D8" s="76">
        <f>COUNTIF(OFFERINGS!$Q$3:$Q$268,A8)</f>
        <v>10</v>
      </c>
      <c r="E8" s="76">
        <f ca="1">SUMIF(OFFERINGS!$Q$3:$Q$268,A8,OFFERINGS!$T$3:$T$268)</f>
        <v>984.44999999999993</v>
      </c>
      <c r="F8" s="101">
        <f>SUMIF(TUTORIALS!$H$5:$H$302,A8,TUTORIALS!$J$5:$J$302)</f>
        <v>0</v>
      </c>
      <c r="G8" s="127">
        <v>0</v>
      </c>
      <c r="H8" s="140">
        <v>345</v>
      </c>
      <c r="I8" s="111"/>
      <c r="J8" s="78">
        <f t="shared" si="3"/>
        <v>172.5</v>
      </c>
      <c r="K8" s="111">
        <v>300</v>
      </c>
      <c r="L8" s="111" t="s">
        <v>416</v>
      </c>
      <c r="M8" s="111"/>
      <c r="N8" s="73">
        <f t="shared" si="0"/>
        <v>1725</v>
      </c>
      <c r="O8" s="111" t="s">
        <v>370</v>
      </c>
    </row>
    <row r="9" spans="1:17" x14ac:dyDescent="0.2">
      <c r="A9" s="78" t="s">
        <v>450</v>
      </c>
      <c r="B9" s="121">
        <v>1</v>
      </c>
      <c r="C9" s="76">
        <f t="shared" ca="1" si="1"/>
        <v>1718.25</v>
      </c>
      <c r="D9" s="76">
        <f>COUNTIF(OFFERINGS!$Q$3:$Q$268,A9)</f>
        <v>2</v>
      </c>
      <c r="E9" s="76">
        <f ca="1">SUMIF(OFFERINGS!$Q$3:$Q$268,A9,OFFERINGS!$T$3:$T$268)</f>
        <v>297</v>
      </c>
      <c r="F9" s="101">
        <f>SUMIF(TUTORIALS!$H$5:$H$302,A9,TUTORIALS!$J$5:$J$302)</f>
        <v>0</v>
      </c>
      <c r="G9" s="127">
        <v>300</v>
      </c>
      <c r="H9" s="78">
        <f t="shared" si="2"/>
        <v>345</v>
      </c>
      <c r="I9" s="111">
        <v>690</v>
      </c>
      <c r="J9" s="78">
        <f t="shared" si="3"/>
        <v>172.5</v>
      </c>
      <c r="K9" s="111"/>
      <c r="L9" s="111"/>
      <c r="M9" s="111">
        <v>-86.25</v>
      </c>
      <c r="N9" s="73">
        <f t="shared" si="0"/>
        <v>1725</v>
      </c>
      <c r="O9" s="127" t="s">
        <v>406</v>
      </c>
    </row>
    <row r="10" spans="1:17" x14ac:dyDescent="0.2">
      <c r="A10" s="78" t="s">
        <v>451</v>
      </c>
      <c r="B10" s="121">
        <v>1</v>
      </c>
      <c r="C10" s="76">
        <f t="shared" ca="1" si="1"/>
        <v>1636.7</v>
      </c>
      <c r="D10" s="76">
        <f>COUNTIF(OFFERINGS!$Q$3:$Q$268,A10)</f>
        <v>6</v>
      </c>
      <c r="E10" s="76">
        <f ca="1">SUMIF(OFFERINGS!$Q$3:$Q$268,A10,OFFERINGS!$T$3:$T$268)</f>
        <v>249.2</v>
      </c>
      <c r="F10" s="101">
        <f>SUMIF(TUTORIALS!$H$5:$H$302,A10,TUTORIALS!$J$5:$J$302)</f>
        <v>0</v>
      </c>
      <c r="G10" s="127">
        <v>770</v>
      </c>
      <c r="H10" s="78">
        <f t="shared" si="2"/>
        <v>345</v>
      </c>
      <c r="I10" s="111"/>
      <c r="J10" s="78">
        <f t="shared" si="3"/>
        <v>172.5</v>
      </c>
      <c r="K10" s="111">
        <v>100</v>
      </c>
      <c r="L10" s="111" t="s">
        <v>385</v>
      </c>
      <c r="M10" s="111"/>
      <c r="N10" s="73">
        <f t="shared" si="0"/>
        <v>1725</v>
      </c>
      <c r="O10" s="127" t="s">
        <v>386</v>
      </c>
    </row>
    <row r="11" spans="1:17" x14ac:dyDescent="0.2">
      <c r="A11" s="78" t="s">
        <v>452</v>
      </c>
      <c r="B11" s="121">
        <v>0.56999999999999995</v>
      </c>
      <c r="C11" s="76">
        <f t="shared" ca="1" si="1"/>
        <v>1126.5749999999998</v>
      </c>
      <c r="D11" s="76">
        <f>COUNTIF(OFFERINGS!$Q$3:$Q$268,A11)</f>
        <v>14</v>
      </c>
      <c r="E11" s="76">
        <f ca="1">SUMIF(OFFERINGS!$Q$3:$Q$268,A11,OFFERINGS!$T$3:$T$268)</f>
        <v>719.09999999999991</v>
      </c>
      <c r="F11" s="101">
        <f>SUMIF(TUTORIALS!$H$5:$H$302,A11,TUTORIALS!$J$5:$J$302)</f>
        <v>0</v>
      </c>
      <c r="G11" s="127">
        <v>62.5</v>
      </c>
      <c r="H11" s="78">
        <f t="shared" si="2"/>
        <v>196.64999999999998</v>
      </c>
      <c r="I11" s="111"/>
      <c r="J11" s="78">
        <f t="shared" si="3"/>
        <v>98.324999999999989</v>
      </c>
      <c r="K11" s="111">
        <v>50</v>
      </c>
      <c r="L11" s="111" t="s">
        <v>381</v>
      </c>
      <c r="M11" s="111"/>
      <c r="N11" s="73">
        <f t="shared" si="0"/>
        <v>983.24999999999989</v>
      </c>
      <c r="O11" s="127" t="s">
        <v>408</v>
      </c>
    </row>
    <row r="12" spans="1:17" x14ac:dyDescent="0.2">
      <c r="A12" s="78" t="s">
        <v>453</v>
      </c>
      <c r="B12" s="121">
        <v>1</v>
      </c>
      <c r="C12" s="76">
        <f t="shared" ca="1" si="1"/>
        <v>1288.7249999999999</v>
      </c>
      <c r="D12" s="76">
        <f>COUNTIF(OFFERINGS!$Q$3:$Q$268,A12)</f>
        <v>6</v>
      </c>
      <c r="E12" s="76">
        <f ca="1">SUMIF(OFFERINGS!$Q$3:$Q$268,A12,OFFERINGS!$T$3:$T$268)</f>
        <v>566.6</v>
      </c>
      <c r="F12" s="101">
        <f>SUMIF(TUTORIALS!$H$5:$H$302,A12,TUTORIALS!$J$5:$J$302)</f>
        <v>0</v>
      </c>
      <c r="G12" s="127"/>
      <c r="H12" s="78">
        <f t="shared" si="2"/>
        <v>247.5</v>
      </c>
      <c r="I12" s="111">
        <v>344</v>
      </c>
      <c r="J12" s="78">
        <f t="shared" si="3"/>
        <v>123.75</v>
      </c>
      <c r="K12" s="111">
        <v>50</v>
      </c>
      <c r="L12" s="111" t="s">
        <v>389</v>
      </c>
      <c r="M12" s="111">
        <v>-43.125</v>
      </c>
      <c r="N12" s="73">
        <v>1237.5</v>
      </c>
      <c r="O12" s="127" t="s">
        <v>407</v>
      </c>
    </row>
    <row r="13" spans="1:17" x14ac:dyDescent="0.2">
      <c r="A13" s="78" t="s">
        <v>454</v>
      </c>
      <c r="B13" s="121">
        <v>1</v>
      </c>
      <c r="C13" s="76">
        <f t="shared" ca="1" si="1"/>
        <v>1675.2</v>
      </c>
      <c r="D13" s="76">
        <f>COUNTIF(OFFERINGS!$Q$3:$Q$268,A13)</f>
        <v>5</v>
      </c>
      <c r="E13" s="76">
        <f ca="1">SUMIF(OFFERINGS!$Q$3:$Q$268,A13,OFFERINGS!$T$3:$T$268)</f>
        <v>970.2</v>
      </c>
      <c r="F13" s="101">
        <f>SUMIF(TUTORIALS!$H$5:$H$302,A13,TUTORIALS!$J$5:$J$302)</f>
        <v>0</v>
      </c>
      <c r="G13" s="127">
        <v>137.5</v>
      </c>
      <c r="H13" s="78">
        <f t="shared" si="2"/>
        <v>345</v>
      </c>
      <c r="I13" s="111"/>
      <c r="J13" s="78">
        <f t="shared" si="3"/>
        <v>172.5</v>
      </c>
      <c r="K13" s="111">
        <v>50</v>
      </c>
      <c r="L13" s="111" t="s">
        <v>413</v>
      </c>
      <c r="M13" s="111"/>
      <c r="N13" s="73">
        <f t="shared" si="0"/>
        <v>1725</v>
      </c>
      <c r="O13" s="127" t="s">
        <v>386</v>
      </c>
    </row>
    <row r="14" spans="1:17" x14ac:dyDescent="0.2">
      <c r="A14" s="78" t="s">
        <v>455</v>
      </c>
      <c r="B14" s="121">
        <v>1</v>
      </c>
      <c r="C14" s="76">
        <f t="shared" ca="1" si="1"/>
        <v>1933.6000000000001</v>
      </c>
      <c r="D14" s="76">
        <f>COUNTIF(OFFERINGS!$Q$3:$Q$268,A14)</f>
        <v>10</v>
      </c>
      <c r="E14" s="76">
        <f ca="1">SUMIF(OFFERINGS!$Q$3:$Q$268,A14,OFFERINGS!$T$3:$T$268)</f>
        <v>851.10000000000014</v>
      </c>
      <c r="F14" s="101">
        <f>SUMIF(TUTORIALS!$H$5:$H$302,A14,TUTORIALS!$J$5:$J$302)</f>
        <v>0</v>
      </c>
      <c r="G14" s="127">
        <v>515</v>
      </c>
      <c r="H14" s="78">
        <f t="shared" si="2"/>
        <v>345</v>
      </c>
      <c r="I14" s="111"/>
      <c r="J14" s="78">
        <f t="shared" si="3"/>
        <v>172.5</v>
      </c>
      <c r="K14" s="111">
        <v>50</v>
      </c>
      <c r="L14" s="111" t="s">
        <v>420</v>
      </c>
      <c r="M14" s="111"/>
      <c r="N14" s="73">
        <f t="shared" si="0"/>
        <v>1725</v>
      </c>
      <c r="O14" s="127" t="s">
        <v>369</v>
      </c>
    </row>
    <row r="15" spans="1:17" x14ac:dyDescent="0.2">
      <c r="A15" s="78" t="s">
        <v>456</v>
      </c>
      <c r="B15" s="121">
        <v>1</v>
      </c>
      <c r="C15" s="76">
        <f t="shared" ca="1" si="1"/>
        <v>1659.75</v>
      </c>
      <c r="D15" s="76">
        <f>COUNTIF(OFFERINGS!$Q$3:$Q$268,A15)</f>
        <v>8</v>
      </c>
      <c r="E15" s="76">
        <f ca="1">SUMIF(OFFERINGS!$Q$3:$Q$268,A15,OFFERINGS!$T$3:$T$268)</f>
        <v>1029.75</v>
      </c>
      <c r="F15" s="101">
        <f>SUMIF(TUTORIALS!$H$5:$H$302,A15,TUTORIALS!$J$5:$J$302)</f>
        <v>0</v>
      </c>
      <c r="G15" s="127">
        <v>112.5</v>
      </c>
      <c r="H15" s="78">
        <f t="shared" si="2"/>
        <v>345</v>
      </c>
      <c r="I15" s="111"/>
      <c r="J15" s="78">
        <f t="shared" si="3"/>
        <v>172.5</v>
      </c>
      <c r="K15" s="111"/>
      <c r="L15" s="111"/>
      <c r="M15" s="111"/>
      <c r="N15" s="73">
        <f t="shared" si="0"/>
        <v>1725</v>
      </c>
      <c r="O15" s="127" t="s">
        <v>386</v>
      </c>
    </row>
    <row r="16" spans="1:17" x14ac:dyDescent="0.2">
      <c r="A16" s="78" t="s">
        <v>457</v>
      </c>
      <c r="B16" s="121">
        <v>1</v>
      </c>
      <c r="C16" s="76">
        <f t="shared" ca="1" si="1"/>
        <v>1487.05</v>
      </c>
      <c r="D16" s="76">
        <f>COUNTIF(OFFERINGS!$Q$3:$Q$268,A16)</f>
        <v>11</v>
      </c>
      <c r="E16" s="76">
        <f ca="1">SUMIF(OFFERINGS!$Q$3:$Q$268,A16,OFFERINGS!$T$3:$T$268)</f>
        <v>729.55</v>
      </c>
      <c r="F16" s="101">
        <f>SUMIF(TUTORIALS!$H$5:$H$302,A16,TUTORIALS!$J$5:$J$302)</f>
        <v>0</v>
      </c>
      <c r="G16" s="127">
        <v>190</v>
      </c>
      <c r="H16" s="78">
        <f t="shared" si="2"/>
        <v>345</v>
      </c>
      <c r="I16" s="111"/>
      <c r="J16" s="78">
        <f t="shared" si="3"/>
        <v>172.5</v>
      </c>
      <c r="K16" s="111">
        <v>50</v>
      </c>
      <c r="L16" s="111" t="s">
        <v>384</v>
      </c>
      <c r="M16" s="111"/>
      <c r="N16" s="73">
        <f t="shared" si="0"/>
        <v>1725</v>
      </c>
      <c r="O16" s="127" t="s">
        <v>386</v>
      </c>
    </row>
    <row r="17" spans="1:15" x14ac:dyDescent="0.2">
      <c r="A17" s="78" t="s">
        <v>458</v>
      </c>
      <c r="B17" s="121">
        <v>1</v>
      </c>
      <c r="C17" s="76">
        <f t="shared" ca="1" si="1"/>
        <v>1743.9</v>
      </c>
      <c r="D17" s="76">
        <f>COUNTIF(OFFERINGS!$Q$3:$Q$268,A17)</f>
        <v>7</v>
      </c>
      <c r="E17" s="76">
        <f ca="1">SUMIF(OFFERINGS!$Q$3:$Q$268,A17,OFFERINGS!$T$3:$T$268)</f>
        <v>1101.4000000000001</v>
      </c>
      <c r="F17" s="101">
        <f>SUMIF(TUTORIALS!$H$5:$H$302,A17,TUTORIALS!$J$5:$J$302)</f>
        <v>0</v>
      </c>
      <c r="G17" s="127">
        <v>125</v>
      </c>
      <c r="H17" s="78">
        <f t="shared" si="2"/>
        <v>345</v>
      </c>
      <c r="I17" s="111"/>
      <c r="J17" s="78">
        <f t="shared" si="3"/>
        <v>172.5</v>
      </c>
      <c r="K17" s="111"/>
      <c r="L17" s="111"/>
      <c r="M17" s="111"/>
      <c r="N17" s="73">
        <f t="shared" si="0"/>
        <v>1725</v>
      </c>
      <c r="O17" s="127" t="s">
        <v>418</v>
      </c>
    </row>
    <row r="18" spans="1:15" x14ac:dyDescent="0.2">
      <c r="A18" s="78" t="s">
        <v>459</v>
      </c>
      <c r="B18" s="121">
        <v>1</v>
      </c>
      <c r="C18" s="76">
        <f t="shared" ca="1" si="1"/>
        <v>1704.9</v>
      </c>
      <c r="D18" s="76">
        <f>COUNTIF(OFFERINGS!$Q$3:$Q$268,A18)</f>
        <v>11</v>
      </c>
      <c r="E18" s="76">
        <f ca="1">SUMIF(OFFERINGS!$Q$3:$Q$268,A18,OFFERINGS!$T$3:$T$268)</f>
        <v>1187.4000000000001</v>
      </c>
      <c r="F18" s="101">
        <f>SUMIF(TUTORIALS!$H$5:$H$302,A18,TUTORIALS!$J$5:$J$302)</f>
        <v>0</v>
      </c>
      <c r="G18" s="127"/>
      <c r="H18" s="78">
        <f t="shared" si="2"/>
        <v>345</v>
      </c>
      <c r="I18" s="111"/>
      <c r="J18" s="78">
        <f t="shared" si="3"/>
        <v>172.5</v>
      </c>
      <c r="K18" s="111"/>
      <c r="L18" s="111"/>
      <c r="M18" s="111"/>
      <c r="N18" s="73">
        <f t="shared" si="0"/>
        <v>1725</v>
      </c>
      <c r="O18" s="127" t="s">
        <v>386</v>
      </c>
    </row>
    <row r="19" spans="1:15" x14ac:dyDescent="0.2">
      <c r="A19" s="78" t="s">
        <v>460</v>
      </c>
      <c r="B19" s="121">
        <v>1</v>
      </c>
      <c r="C19" s="76">
        <f t="shared" ca="1" si="1"/>
        <v>1809.7</v>
      </c>
      <c r="D19" s="76">
        <f>COUNTIF(OFFERINGS!$Q$3:$Q$268,A19)</f>
        <v>12</v>
      </c>
      <c r="E19" s="76">
        <f ca="1">SUMIF(OFFERINGS!$Q$3:$Q$268,A19,OFFERINGS!$T$3:$T$268)</f>
        <v>1152.2</v>
      </c>
      <c r="F19" s="101">
        <f>SUMIF(TUTORIALS!$H$5:$H$302,A19,TUTORIALS!$J$5:$J$302)</f>
        <v>0</v>
      </c>
      <c r="G19" s="111">
        <v>140</v>
      </c>
      <c r="H19" s="78">
        <f t="shared" si="2"/>
        <v>345</v>
      </c>
      <c r="I19" s="111"/>
      <c r="J19" s="78">
        <f t="shared" si="3"/>
        <v>172.5</v>
      </c>
      <c r="K19" s="111"/>
      <c r="L19" s="111"/>
      <c r="M19" s="111"/>
      <c r="N19" s="73">
        <f t="shared" si="0"/>
        <v>1725</v>
      </c>
      <c r="O19" s="111" t="s">
        <v>370</v>
      </c>
    </row>
    <row r="20" spans="1:15" x14ac:dyDescent="0.2">
      <c r="A20" s="145" t="s">
        <v>461</v>
      </c>
      <c r="B20" s="121">
        <v>1</v>
      </c>
      <c r="C20" s="76">
        <f t="shared" ca="1" si="1"/>
        <v>2034.8</v>
      </c>
      <c r="D20" s="76">
        <f>COUNTIF(OFFERINGS!$Q$3:$Q$268,A20)</f>
        <v>8</v>
      </c>
      <c r="E20" s="76">
        <f ca="1">SUMIF(OFFERINGS!$Q$3:$Q$268,A20,OFFERINGS!$T$3:$T$268)</f>
        <v>1227.3</v>
      </c>
      <c r="F20" s="101">
        <f>SUMIF(TUTORIALS!$H$5:$H$302,A20,TUTORIALS!$J$5:$J$302)</f>
        <v>0</v>
      </c>
      <c r="G20" s="111">
        <v>290</v>
      </c>
      <c r="H20" s="78">
        <f t="shared" si="2"/>
        <v>345</v>
      </c>
      <c r="I20" s="111"/>
      <c r="J20" s="78">
        <f t="shared" si="3"/>
        <v>172.5</v>
      </c>
      <c r="K20" s="111"/>
      <c r="L20" s="111"/>
      <c r="M20" s="111"/>
      <c r="N20" s="73">
        <f t="shared" si="0"/>
        <v>1725</v>
      </c>
      <c r="O20" s="111" t="s">
        <v>370</v>
      </c>
    </row>
    <row r="21" spans="1:15" x14ac:dyDescent="0.2">
      <c r="A21" s="78" t="s">
        <v>462</v>
      </c>
      <c r="B21" s="121">
        <v>1</v>
      </c>
      <c r="C21" s="76">
        <f t="shared" ca="1" si="1"/>
        <v>1864.9</v>
      </c>
      <c r="D21" s="76">
        <f>COUNTIF(OFFERINGS!$Q$3:$Q$268,A21)</f>
        <v>14</v>
      </c>
      <c r="E21" s="76">
        <f ca="1">SUMIF(OFFERINGS!$Q$3:$Q$268,A21,OFFERINGS!$T$3:$T$268)</f>
        <v>1347.4</v>
      </c>
      <c r="F21" s="101">
        <f>SUMIF(TUTORIALS!$H$5:$H$302,A21,TUTORIALS!$J$5:$J$302)</f>
        <v>0</v>
      </c>
      <c r="G21" s="111"/>
      <c r="H21" s="78">
        <f t="shared" si="2"/>
        <v>345</v>
      </c>
      <c r="I21" s="111"/>
      <c r="J21" s="78">
        <f t="shared" si="3"/>
        <v>172.5</v>
      </c>
      <c r="K21" s="111"/>
      <c r="L21" s="111"/>
      <c r="M21" s="111"/>
      <c r="N21" s="73">
        <f t="shared" si="0"/>
        <v>1725</v>
      </c>
      <c r="O21" s="111" t="s">
        <v>397</v>
      </c>
    </row>
    <row r="22" spans="1:15" x14ac:dyDescent="0.2">
      <c r="A22" s="144" t="s">
        <v>463</v>
      </c>
      <c r="B22" s="121">
        <v>0.75</v>
      </c>
      <c r="C22" s="76">
        <f t="shared" ca="1" si="1"/>
        <v>1201.125</v>
      </c>
      <c r="D22" s="76">
        <f>COUNTIF(OFFERINGS!$Q$3:$Q$268,A22)</f>
        <v>12</v>
      </c>
      <c r="E22" s="76">
        <f ca="1">SUMIF(OFFERINGS!$Q$3:$Q$268,A22,OFFERINGS!$T$3:$T$268)</f>
        <v>748</v>
      </c>
      <c r="F22" s="101">
        <f>SUMIF(TUTORIALS!$H$5:$H$302,A22,TUTORIALS!$J$5:$J$302)</f>
        <v>0</v>
      </c>
      <c r="G22" s="127">
        <v>65</v>
      </c>
      <c r="H22" s="78">
        <f t="shared" si="2"/>
        <v>258.75</v>
      </c>
      <c r="I22" s="111"/>
      <c r="J22" s="78">
        <f t="shared" si="3"/>
        <v>129.375</v>
      </c>
      <c r="K22" s="111"/>
      <c r="L22" s="143" t="s">
        <v>382</v>
      </c>
      <c r="M22" s="111"/>
      <c r="N22" s="73">
        <f t="shared" si="0"/>
        <v>1293.75</v>
      </c>
      <c r="O22" s="141" t="s">
        <v>417</v>
      </c>
    </row>
    <row r="23" spans="1:15" x14ac:dyDescent="0.2">
      <c r="A23" s="78" t="s">
        <v>464</v>
      </c>
      <c r="B23" s="121">
        <v>1</v>
      </c>
      <c r="C23" s="76">
        <f t="shared" ca="1" si="1"/>
        <v>1840.1</v>
      </c>
      <c r="D23" s="76">
        <f>COUNTIF(OFFERINGS!$Q$3:$Q$268,A23)</f>
        <v>7</v>
      </c>
      <c r="E23" s="76">
        <f ca="1">SUMIF(OFFERINGS!$Q$3:$Q$268,A23,OFFERINGS!$T$3:$T$268)</f>
        <v>517.6</v>
      </c>
      <c r="F23" s="101">
        <f>SUMIF(TUTORIALS!$H$5:$H$302,A23,TUTORIALS!$J$5:$J$302)</f>
        <v>0</v>
      </c>
      <c r="G23" s="127">
        <v>705</v>
      </c>
      <c r="H23" s="78">
        <f t="shared" si="2"/>
        <v>345</v>
      </c>
      <c r="I23" s="111"/>
      <c r="J23" s="78">
        <f t="shared" si="3"/>
        <v>172.5</v>
      </c>
      <c r="K23" s="111">
        <v>100</v>
      </c>
      <c r="L23" s="111" t="s">
        <v>383</v>
      </c>
      <c r="M23" s="111"/>
      <c r="N23" s="73">
        <f t="shared" si="0"/>
        <v>1725</v>
      </c>
      <c r="O23" s="127" t="s">
        <v>386</v>
      </c>
    </row>
    <row r="24" spans="1:15" x14ac:dyDescent="0.2">
      <c r="A24" s="75" t="s">
        <v>465</v>
      </c>
      <c r="B24" s="122">
        <v>0.78</v>
      </c>
      <c r="C24" s="77">
        <f t="shared" ca="1" si="1"/>
        <v>1178</v>
      </c>
      <c r="D24" s="77">
        <f>COUNTIF(OFFERINGS!$Q$3:$Q$268,A24)</f>
        <v>6</v>
      </c>
      <c r="E24" s="77">
        <f ca="1">SUMIF(OFFERINGS!$Q$3:$Q$268,A24,OFFERINGS!$T$3:$T$268)</f>
        <v>664.35</v>
      </c>
      <c r="F24" s="77">
        <f>SUMIF(TUTORIALS!$H$5:$H$302,A24,TUTORIALS!$J$5:$J$302)</f>
        <v>0</v>
      </c>
      <c r="G24" s="132">
        <v>110</v>
      </c>
      <c r="H24" s="75">
        <f t="shared" si="2"/>
        <v>269.10000000000002</v>
      </c>
      <c r="I24" s="112"/>
      <c r="J24" s="77">
        <f t="shared" si="3"/>
        <v>134.55000000000001</v>
      </c>
      <c r="K24" s="112"/>
      <c r="L24" s="112"/>
      <c r="M24" s="112"/>
      <c r="N24" s="74">
        <f t="shared" si="0"/>
        <v>1345.5</v>
      </c>
      <c r="O24" s="132" t="s">
        <v>393</v>
      </c>
    </row>
    <row r="25" spans="1:15" x14ac:dyDescent="0.2">
      <c r="A25" s="78"/>
      <c r="B25" s="78"/>
    </row>
    <row r="28" spans="1:15" x14ac:dyDescent="0.2">
      <c r="D28" s="78"/>
    </row>
  </sheetData>
  <mergeCells count="3">
    <mergeCell ref="E3:G3"/>
    <mergeCell ref="H3:I3"/>
    <mergeCell ref="J3:L3"/>
  </mergeCells>
  <phoneticPr fontId="16" type="noConversion"/>
  <conditionalFormatting sqref="C5:C24">
    <cfRule type="cellIs" dxfId="15" priority="12" stopIfTrue="1" operator="greaterThan">
      <formula>N5</formula>
    </cfRule>
  </conditionalFormatting>
  <conditionalFormatting sqref="C6:C24">
    <cfRule type="cellIs" dxfId="14" priority="10" stopIfTrue="1" operator="greaterThan">
      <formula>N6</formula>
    </cfRule>
  </conditionalFormatting>
  <conditionalFormatting sqref="C5">
    <cfRule type="cellIs" dxfId="13" priority="4" operator="between">
      <formula>$N5</formula>
      <formula>$N5*1.1</formula>
    </cfRule>
    <cfRule type="cellIs" dxfId="12" priority="7" operator="lessThan">
      <formula>$N5</formula>
    </cfRule>
    <cfRule type="cellIs" dxfId="11" priority="9" operator="lessThan">
      <formula>$N$5</formula>
    </cfRule>
  </conditionalFormatting>
  <conditionalFormatting sqref="C6:C24">
    <cfRule type="cellIs" dxfId="10" priority="8" operator="lessThan">
      <formula>$N$5</formula>
    </cfRule>
  </conditionalFormatting>
  <conditionalFormatting sqref="C6:C24">
    <cfRule type="cellIs" dxfId="9" priority="5" operator="lessThan">
      <formula>$N6</formula>
    </cfRule>
    <cfRule type="cellIs" dxfId="8" priority="6" operator="lessThan">
      <formula>$N$5</formula>
    </cfRule>
  </conditionalFormatting>
  <conditionalFormatting sqref="C6:C24">
    <cfRule type="cellIs" dxfId="7" priority="1" operator="between">
      <formula>$N6</formula>
      <formula>$N6*1.1</formula>
    </cfRule>
    <cfRule type="cellIs" dxfId="6" priority="2" operator="lessThan">
      <formula>$N6</formula>
    </cfRule>
    <cfRule type="cellIs" dxfId="5" priority="3" operator="lessThan">
      <formula>$N$5</formula>
    </cfRule>
  </conditionalFormatting>
  <pageMargins left="0.7" right="0.7" top="0.75" bottom="0.75" header="0.3" footer="0.3"/>
  <pageSetup paperSize="8" scale="74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 enableFormatConditionsCalculation="0">
    <pageSetUpPr fitToPage="1"/>
  </sheetPr>
  <dimension ref="A1:AB268"/>
  <sheetViews>
    <sheetView topLeftCell="D1" workbookViewId="0">
      <selection activeCell="F45" sqref="F45:F195"/>
    </sheetView>
  </sheetViews>
  <sheetFormatPr baseColWidth="10" defaultColWidth="8.83203125" defaultRowHeight="15" x14ac:dyDescent="0.2"/>
  <cols>
    <col min="1" max="1" width="11.33203125" customWidth="1"/>
    <col min="2" max="2" width="8.83203125" hidden="1" customWidth="1"/>
    <col min="3" max="3" width="0" hidden="1" customWidth="1"/>
    <col min="5" max="5" width="45.6640625" bestFit="1" customWidth="1"/>
    <col min="7" max="7" width="11.6640625" bestFit="1" customWidth="1"/>
    <col min="10" max="10" width="10" customWidth="1"/>
    <col min="11" max="11" width="13.5" customWidth="1"/>
    <col min="12" max="14" width="9.1640625" customWidth="1"/>
    <col min="15" max="15" width="11.33203125" customWidth="1"/>
    <col min="16" max="16" width="11.5" customWidth="1"/>
    <col min="17" max="17" width="21.1640625" customWidth="1"/>
    <col min="18" max="18" width="10.1640625" hidden="1" customWidth="1"/>
    <col min="19" max="19" width="14.5" customWidth="1"/>
    <col min="20" max="20" width="13" customWidth="1"/>
    <col min="21" max="21" width="13" hidden="1" customWidth="1"/>
    <col min="22" max="22" width="14" customWidth="1"/>
    <col min="23" max="23" width="16.5" customWidth="1"/>
    <col min="24" max="24" width="13.33203125" style="102" customWidth="1"/>
    <col min="25" max="25" width="16" customWidth="1"/>
    <col min="26" max="26" width="16.6640625" bestFit="1" customWidth="1"/>
    <col min="27" max="27" width="14.5" customWidth="1"/>
    <col min="28" max="28" width="22" customWidth="1"/>
  </cols>
  <sheetData>
    <row r="1" spans="1:28" ht="95.25" customHeight="1" x14ac:dyDescent="0.3">
      <c r="A1" s="88" t="s">
        <v>356</v>
      </c>
      <c r="B1" s="70" t="s">
        <v>294</v>
      </c>
      <c r="C1" s="67" t="s">
        <v>294</v>
      </c>
      <c r="D1" s="160" t="s">
        <v>293</v>
      </c>
      <c r="E1" s="161"/>
      <c r="F1" s="161"/>
      <c r="G1" s="161"/>
      <c r="H1" s="161"/>
      <c r="I1" s="162"/>
      <c r="J1" s="139" t="s">
        <v>412</v>
      </c>
      <c r="K1" s="48" t="s">
        <v>246</v>
      </c>
      <c r="L1" s="43" t="s">
        <v>292</v>
      </c>
      <c r="M1" s="44" t="s">
        <v>292</v>
      </c>
      <c r="N1" s="44" t="s">
        <v>292</v>
      </c>
      <c r="O1" s="138" t="s">
        <v>411</v>
      </c>
      <c r="P1" s="137" t="s">
        <v>410</v>
      </c>
      <c r="Q1" s="48" t="s">
        <v>345</v>
      </c>
      <c r="R1" s="50" t="s">
        <v>266</v>
      </c>
      <c r="S1" s="49" t="s">
        <v>346</v>
      </c>
      <c r="T1" s="137" t="s">
        <v>410</v>
      </c>
      <c r="U1" t="s">
        <v>266</v>
      </c>
      <c r="V1" s="163" t="s">
        <v>409</v>
      </c>
      <c r="W1" s="164"/>
      <c r="X1" s="131" t="s">
        <v>349</v>
      </c>
      <c r="Z1" s="115"/>
      <c r="AA1" s="133">
        <f ca="1">SUM(AA3:AA268)</f>
        <v>5069</v>
      </c>
      <c r="AB1" s="146">
        <f>SUM(AB3:AB199)*'Pattern lookup'!$K$25</f>
        <v>321835.31918999995</v>
      </c>
    </row>
    <row r="2" spans="1:28" s="3" customFormat="1" ht="73.5" customHeight="1" x14ac:dyDescent="0.2">
      <c r="A2" s="88" t="s">
        <v>355</v>
      </c>
      <c r="B2" s="46" t="s">
        <v>256</v>
      </c>
      <c r="C2" s="46" t="s">
        <v>257</v>
      </c>
      <c r="D2" s="10" t="s">
        <v>89</v>
      </c>
      <c r="E2" s="10" t="s">
        <v>90</v>
      </c>
      <c r="F2" s="10" t="s">
        <v>92</v>
      </c>
      <c r="G2" s="10" t="s">
        <v>93</v>
      </c>
      <c r="H2" s="10" t="s">
        <v>91</v>
      </c>
      <c r="I2" s="151" t="s">
        <v>97</v>
      </c>
      <c r="J2" s="68" t="s">
        <v>285</v>
      </c>
      <c r="K2" s="53" t="s">
        <v>120</v>
      </c>
      <c r="L2" s="12" t="s">
        <v>94</v>
      </c>
      <c r="M2" s="11" t="s">
        <v>96</v>
      </c>
      <c r="N2" s="11" t="s">
        <v>95</v>
      </c>
      <c r="O2" s="51" t="s">
        <v>353</v>
      </c>
      <c r="P2" s="51" t="s">
        <v>247</v>
      </c>
      <c r="Q2" s="53" t="s">
        <v>352</v>
      </c>
      <c r="R2" s="4" t="s">
        <v>102</v>
      </c>
      <c r="S2" s="53" t="s">
        <v>351</v>
      </c>
      <c r="T2" s="41" t="s">
        <v>347</v>
      </c>
      <c r="U2" s="3" t="s">
        <v>344</v>
      </c>
      <c r="V2" s="92" t="s">
        <v>348</v>
      </c>
      <c r="W2" s="89" t="s">
        <v>394</v>
      </c>
      <c r="X2" s="129" t="s">
        <v>350</v>
      </c>
      <c r="Y2" s="116" t="s">
        <v>354</v>
      </c>
      <c r="Z2" s="116" t="s">
        <v>357</v>
      </c>
      <c r="AA2" s="134" t="s">
        <v>395</v>
      </c>
      <c r="AB2" s="134" t="s">
        <v>422</v>
      </c>
    </row>
    <row r="3" spans="1:28" ht="15" customHeight="1" x14ac:dyDescent="0.2">
      <c r="A3" s="91">
        <v>1</v>
      </c>
      <c r="B3" s="47" t="s">
        <v>254</v>
      </c>
      <c r="C3" s="47" t="s">
        <v>259</v>
      </c>
      <c r="D3" s="8" t="s">
        <v>98</v>
      </c>
      <c r="E3" s="8" t="s">
        <v>103</v>
      </c>
      <c r="F3" s="93" t="s">
        <v>99</v>
      </c>
      <c r="G3" s="8" t="s">
        <v>100</v>
      </c>
      <c r="H3" s="8" t="s">
        <v>87</v>
      </c>
      <c r="I3" s="14" t="s">
        <v>260</v>
      </c>
      <c r="J3" s="69">
        <f>LOOKUP(I3,'Pattern lookup'!$A$4:$A$21,'Pattern lookup'!$F$4:$F$21)</f>
        <v>15</v>
      </c>
      <c r="K3" s="54">
        <v>74</v>
      </c>
      <c r="L3" s="13">
        <f ca="1">LOOKUP(I3,'Pattern lookup'!$A$4:$A$29,'Pattern lookup'!$C$4:$C$17)</f>
        <v>163</v>
      </c>
      <c r="M3" s="9">
        <f ca="1">LOOKUP(I3,'Pattern lookup'!$A$4:$A$29,'Pattern lookup'!$D$4:$D$17)</f>
        <v>46.5</v>
      </c>
      <c r="N3" s="9">
        <f ca="1">LOOKUP(I3,'Pattern lookup'!$A$4:$A$29,'Pattern lookup'!$E$4:$E$17)</f>
        <v>0.7</v>
      </c>
      <c r="O3" s="42">
        <f t="shared" ref="O3:O60" si="0">IF(J3&lt;&gt;0, ROUNDUP(K3/J3,0), 0)</f>
        <v>5</v>
      </c>
      <c r="P3" s="52">
        <f ca="1">IF(A3=1,(L3+M3*O3+N3*K3),0)</f>
        <v>447.3</v>
      </c>
      <c r="Q3" s="56" t="s">
        <v>461</v>
      </c>
      <c r="R3">
        <f ca="1">IF(AND(Q3&lt;&gt;"0 - Unallocated",Q3&lt;&gt;"z - Cancelled"),L3+N3*K3,)</f>
        <v>214.8</v>
      </c>
      <c r="S3" s="54">
        <v>5</v>
      </c>
      <c r="T3" s="42">
        <f t="shared" ref="T3:T60" ca="1" si="1">R3+S3*M3</f>
        <v>447.3</v>
      </c>
      <c r="U3">
        <f ca="1">P3-T3</f>
        <v>0</v>
      </c>
      <c r="V3" s="8"/>
      <c r="W3" s="90"/>
      <c r="X3" s="54"/>
      <c r="Y3">
        <f ca="1">U3-(X3*M3+V3*M3)</f>
        <v>0</v>
      </c>
      <c r="Z3" s="117"/>
      <c r="AA3" s="117">
        <f ca="1">X3*M3</f>
        <v>0</v>
      </c>
      <c r="AB3" s="117">
        <f>LOOKUP(I3,'Pattern lookup'!$A$4:$A$21,'Pattern lookup'!$H$4:$H$21)*X3</f>
        <v>0</v>
      </c>
    </row>
    <row r="4" spans="1:28" ht="15" customHeight="1" x14ac:dyDescent="0.2">
      <c r="A4" s="91">
        <v>1</v>
      </c>
      <c r="B4" s="47" t="s">
        <v>254</v>
      </c>
      <c r="C4" s="47" t="s">
        <v>259</v>
      </c>
      <c r="D4" s="8" t="s">
        <v>98</v>
      </c>
      <c r="E4" s="8" t="s">
        <v>103</v>
      </c>
      <c r="F4" s="93" t="s">
        <v>99</v>
      </c>
      <c r="G4" s="8" t="s">
        <v>100</v>
      </c>
      <c r="H4" s="8" t="s">
        <v>88</v>
      </c>
      <c r="I4" s="14" t="s">
        <v>48</v>
      </c>
      <c r="J4" s="69">
        <f>LOOKUP(I4,'Pattern lookup'!$A$4:$A$21,'Pattern lookup'!$F$4:$F$21)</f>
        <v>15</v>
      </c>
      <c r="K4" s="54">
        <v>10</v>
      </c>
      <c r="L4" s="13">
        <f ca="1">LOOKUP(I4,'Pattern lookup'!$A$4:$A$29,'Pattern lookup'!$C$4:$C$17)</f>
        <v>2</v>
      </c>
      <c r="M4" s="9">
        <f ca="1">LOOKUP(I4,'Pattern lookup'!$A$4:$A$29,'Pattern lookup'!$D$4:$D$17)</f>
        <v>22.5</v>
      </c>
      <c r="N4" s="9">
        <f ca="1">LOOKUP(I4,'Pattern lookup'!$A$4:$A$29,'Pattern lookup'!$E$4:$E$17)</f>
        <v>0.6</v>
      </c>
      <c r="O4" s="42">
        <f t="shared" si="0"/>
        <v>1</v>
      </c>
      <c r="P4" s="52">
        <f t="shared" ref="P4:P60" ca="1" si="2">IF(A4=1,(L4+M4*O4+N4*K4),0)</f>
        <v>30.5</v>
      </c>
      <c r="Q4" s="56" t="s">
        <v>461</v>
      </c>
      <c r="R4">
        <f t="shared" ref="R4:R60" ca="1" si="3">IF(AND(Q4&lt;&gt;"0 - Unallocated",Q4&lt;&gt;"z - Cancelled"),L4+N4*K4,)</f>
        <v>8</v>
      </c>
      <c r="S4" s="54">
        <v>1</v>
      </c>
      <c r="T4" s="42">
        <f t="shared" ca="1" si="1"/>
        <v>30.5</v>
      </c>
      <c r="U4">
        <f t="shared" ref="U4:U60" ca="1" si="4">P4-T4</f>
        <v>0</v>
      </c>
      <c r="V4" s="8"/>
      <c r="W4" s="90"/>
      <c r="X4" s="54"/>
      <c r="Y4">
        <f t="shared" ref="Y4:Y60" ca="1" si="5">U4-(X4*M4+V4*M4)</f>
        <v>0</v>
      </c>
      <c r="Z4" s="117"/>
      <c r="AA4" s="117">
        <f t="shared" ref="AA4:AA60" ca="1" si="6">X4*M4</f>
        <v>0</v>
      </c>
      <c r="AB4" s="117">
        <f>LOOKUP(I4,'Pattern lookup'!$A$4:$A$21,'Pattern lookup'!$H$4:$H$21)*X4</f>
        <v>0</v>
      </c>
    </row>
    <row r="5" spans="1:28" ht="15" customHeight="1" x14ac:dyDescent="0.2">
      <c r="A5" s="91">
        <v>1</v>
      </c>
      <c r="B5" s="47" t="s">
        <v>254</v>
      </c>
      <c r="C5" s="47" t="s">
        <v>259</v>
      </c>
      <c r="D5" s="8" t="s">
        <v>121</v>
      </c>
      <c r="E5" s="8" t="s">
        <v>122</v>
      </c>
      <c r="F5" s="114" t="s">
        <v>108</v>
      </c>
      <c r="G5" s="8" t="s">
        <v>100</v>
      </c>
      <c r="H5" s="8" t="s">
        <v>87</v>
      </c>
      <c r="I5" s="14" t="s">
        <v>260</v>
      </c>
      <c r="J5" s="69">
        <f>LOOKUP(I5,'Pattern lookup'!$A$4:$A$21,'Pattern lookup'!$F$4:$F$21)</f>
        <v>15</v>
      </c>
      <c r="K5" s="54">
        <v>104</v>
      </c>
      <c r="L5" s="13">
        <f ca="1">LOOKUP(I5,'Pattern lookup'!$A$4:$A$29,'Pattern lookup'!$C$4:$C$17)</f>
        <v>163</v>
      </c>
      <c r="M5" s="9">
        <f ca="1">LOOKUP(I5,'Pattern lookup'!$A$4:$A$29,'Pattern lookup'!$D$4:$D$17)</f>
        <v>46.5</v>
      </c>
      <c r="N5" s="9">
        <f ca="1">LOOKUP(I5,'Pattern lookup'!$A$4:$A$29,'Pattern lookup'!$E$4:$E$17)</f>
        <v>0.7</v>
      </c>
      <c r="O5" s="42">
        <f t="shared" si="0"/>
        <v>7</v>
      </c>
      <c r="P5" s="52">
        <f t="shared" ca="1" si="2"/>
        <v>561.29999999999995</v>
      </c>
      <c r="Q5" s="56" t="s">
        <v>459</v>
      </c>
      <c r="R5">
        <f t="shared" ca="1" si="3"/>
        <v>235.8</v>
      </c>
      <c r="S5" s="54">
        <v>5</v>
      </c>
      <c r="T5" s="42">
        <f t="shared" ca="1" si="1"/>
        <v>468.3</v>
      </c>
      <c r="U5">
        <f t="shared" ca="1" si="4"/>
        <v>92.999999999999943</v>
      </c>
      <c r="V5" s="8"/>
      <c r="W5" s="90"/>
      <c r="X5" s="54">
        <v>2</v>
      </c>
      <c r="Y5">
        <f t="shared" ca="1" si="5"/>
        <v>0</v>
      </c>
      <c r="Z5" s="117"/>
      <c r="AA5" s="117">
        <f t="shared" ca="1" si="6"/>
        <v>93</v>
      </c>
      <c r="AB5" s="117">
        <f>LOOKUP(I5,'Pattern lookup'!$A$4:$A$21,'Pattern lookup'!$H$4:$H$21)*X5</f>
        <v>48</v>
      </c>
    </row>
    <row r="6" spans="1:28" ht="15" customHeight="1" x14ac:dyDescent="0.2">
      <c r="A6" s="91">
        <v>1</v>
      </c>
      <c r="B6" s="47" t="s">
        <v>254</v>
      </c>
      <c r="C6" s="47" t="s">
        <v>259</v>
      </c>
      <c r="D6" s="8" t="s">
        <v>121</v>
      </c>
      <c r="E6" s="8" t="s">
        <v>122</v>
      </c>
      <c r="F6" s="114" t="s">
        <v>108</v>
      </c>
      <c r="G6" s="8" t="s">
        <v>100</v>
      </c>
      <c r="H6" s="8" t="s">
        <v>88</v>
      </c>
      <c r="I6" s="14" t="s">
        <v>48</v>
      </c>
      <c r="J6" s="69">
        <f>LOOKUP(I6,'Pattern lookup'!$A$4:$A$21,'Pattern lookup'!$F$4:$F$21)</f>
        <v>15</v>
      </c>
      <c r="K6" s="54">
        <v>17</v>
      </c>
      <c r="L6" s="13">
        <f ca="1">LOOKUP(I6,'Pattern lookup'!$A$4:$A$29,'Pattern lookup'!$C$4:$C$17)</f>
        <v>2</v>
      </c>
      <c r="M6" s="9">
        <f ca="1">LOOKUP(I6,'Pattern lookup'!$A$4:$A$29,'Pattern lookup'!$D$4:$D$17)</f>
        <v>22.5</v>
      </c>
      <c r="N6" s="9">
        <f ca="1">LOOKUP(I6,'Pattern lookup'!$A$4:$A$29,'Pattern lookup'!$E$4:$E$17)</f>
        <v>0.6</v>
      </c>
      <c r="O6" s="42">
        <f t="shared" si="0"/>
        <v>2</v>
      </c>
      <c r="P6" s="52">
        <f t="shared" ca="1" si="2"/>
        <v>57.2</v>
      </c>
      <c r="Q6" s="56" t="s">
        <v>459</v>
      </c>
      <c r="R6">
        <f t="shared" ca="1" si="3"/>
        <v>12.2</v>
      </c>
      <c r="S6" s="54"/>
      <c r="T6" s="42">
        <f t="shared" ca="1" si="1"/>
        <v>12.2</v>
      </c>
      <c r="U6">
        <f t="shared" ca="1" si="4"/>
        <v>45</v>
      </c>
      <c r="V6" s="8"/>
      <c r="W6" s="90"/>
      <c r="X6" s="54">
        <v>2</v>
      </c>
      <c r="Y6">
        <f t="shared" ca="1" si="5"/>
        <v>0</v>
      </c>
      <c r="Z6" s="117"/>
      <c r="AA6" s="117">
        <f t="shared" ca="1" si="6"/>
        <v>45</v>
      </c>
      <c r="AB6" s="117">
        <f>LOOKUP(I6,'Pattern lookup'!$A$4:$A$21,'Pattern lookup'!$H$4:$H$21)*X6</f>
        <v>24</v>
      </c>
    </row>
    <row r="7" spans="1:28" ht="15" customHeight="1" x14ac:dyDescent="0.2">
      <c r="A7" s="91">
        <v>1</v>
      </c>
      <c r="B7" s="47" t="s">
        <v>254</v>
      </c>
      <c r="C7" s="47" t="s">
        <v>259</v>
      </c>
      <c r="D7" s="8" t="s">
        <v>121</v>
      </c>
      <c r="E7" s="8" t="s">
        <v>122</v>
      </c>
      <c r="F7" s="93" t="s">
        <v>99</v>
      </c>
      <c r="G7" s="8" t="s">
        <v>100</v>
      </c>
      <c r="H7" s="8" t="s">
        <v>87</v>
      </c>
      <c r="I7" s="14" t="s">
        <v>110</v>
      </c>
      <c r="J7" s="69">
        <f>LOOKUP(I7,'Pattern lookup'!$A$4:$A$21,'Pattern lookup'!$F$4:$F$21)</f>
        <v>15</v>
      </c>
      <c r="K7" s="54">
        <v>65</v>
      </c>
      <c r="L7" s="13">
        <f ca="1">LOOKUP(I7,'Pattern lookup'!$A$4:$A$29,'Pattern lookup'!$C$4:$C$17)</f>
        <v>56</v>
      </c>
      <c r="M7" s="9">
        <f ca="1">LOOKUP(I7,'Pattern lookup'!$A$4:$A$29,'Pattern lookup'!$D$4:$D$17)</f>
        <v>34.5</v>
      </c>
      <c r="N7" s="9">
        <f ca="1">LOOKUP(I7,'Pattern lookup'!$A$4:$A$29,'Pattern lookup'!$E$4:$E$17)</f>
        <v>0.7</v>
      </c>
      <c r="O7" s="42">
        <f t="shared" si="0"/>
        <v>5</v>
      </c>
      <c r="P7" s="52">
        <f t="shared" ca="1" si="2"/>
        <v>274</v>
      </c>
      <c r="Q7" s="56" t="s">
        <v>459</v>
      </c>
      <c r="R7">
        <f t="shared" ca="1" si="3"/>
        <v>101.5</v>
      </c>
      <c r="S7" s="54">
        <v>3</v>
      </c>
      <c r="T7" s="42">
        <f t="shared" ca="1" si="1"/>
        <v>205</v>
      </c>
      <c r="U7">
        <f t="shared" ca="1" si="4"/>
        <v>69</v>
      </c>
      <c r="V7" s="8"/>
      <c r="W7" s="90"/>
      <c r="X7" s="54">
        <v>2</v>
      </c>
      <c r="Y7">
        <f t="shared" ca="1" si="5"/>
        <v>0</v>
      </c>
      <c r="Z7" s="117"/>
      <c r="AA7" s="117">
        <f t="shared" ca="1" si="6"/>
        <v>69</v>
      </c>
      <c r="AB7" s="117">
        <f>LOOKUP(I7,'Pattern lookup'!$A$4:$A$21,'Pattern lookup'!$H$4:$H$21)*X7</f>
        <v>48</v>
      </c>
    </row>
    <row r="8" spans="1:28" ht="15" customHeight="1" x14ac:dyDescent="0.2">
      <c r="A8" s="91">
        <v>1</v>
      </c>
      <c r="B8" s="47" t="s">
        <v>254</v>
      </c>
      <c r="C8" s="47" t="s">
        <v>259</v>
      </c>
      <c r="D8" s="8" t="s">
        <v>121</v>
      </c>
      <c r="E8" s="8" t="s">
        <v>122</v>
      </c>
      <c r="F8" s="93" t="s">
        <v>99</v>
      </c>
      <c r="G8" s="8" t="s">
        <v>100</v>
      </c>
      <c r="H8" s="8" t="s">
        <v>88</v>
      </c>
      <c r="I8" s="14" t="s">
        <v>48</v>
      </c>
      <c r="J8" s="69">
        <f>LOOKUP(I8,'Pattern lookup'!$A$4:$A$21,'Pattern lookup'!$F$4:$F$21)</f>
        <v>15</v>
      </c>
      <c r="K8" s="54">
        <v>15</v>
      </c>
      <c r="L8" s="13">
        <f ca="1">LOOKUP(I8,'Pattern lookup'!$A$4:$A$29,'Pattern lookup'!$C$4:$C$17)</f>
        <v>2</v>
      </c>
      <c r="M8" s="9">
        <f ca="1">LOOKUP(I8,'Pattern lookup'!$A$4:$A$29,'Pattern lookup'!$D$4:$D$17)</f>
        <v>22.5</v>
      </c>
      <c r="N8" s="9">
        <f ca="1">LOOKUP(I8,'Pattern lookup'!$A$4:$A$29,'Pattern lookup'!$E$4:$E$17)</f>
        <v>0.6</v>
      </c>
      <c r="O8" s="42">
        <f t="shared" si="0"/>
        <v>1</v>
      </c>
      <c r="P8" s="52">
        <f t="shared" ca="1" si="2"/>
        <v>33.5</v>
      </c>
      <c r="Q8" s="56" t="s">
        <v>459</v>
      </c>
      <c r="R8">
        <f t="shared" ca="1" si="3"/>
        <v>11</v>
      </c>
      <c r="S8" s="54">
        <v>1</v>
      </c>
      <c r="T8" s="42">
        <f t="shared" ca="1" si="1"/>
        <v>33.5</v>
      </c>
      <c r="U8">
        <f t="shared" ca="1" si="4"/>
        <v>0</v>
      </c>
      <c r="V8" s="8"/>
      <c r="W8" s="90"/>
      <c r="X8" s="54"/>
      <c r="Y8">
        <f t="shared" ca="1" si="5"/>
        <v>0</v>
      </c>
      <c r="Z8" s="117"/>
      <c r="AA8" s="117">
        <f t="shared" ca="1" si="6"/>
        <v>0</v>
      </c>
      <c r="AB8" s="117">
        <f>LOOKUP(I8,'Pattern lookup'!$A$4:$A$21,'Pattern lookup'!$H$4:$H$21)*X8</f>
        <v>0</v>
      </c>
    </row>
    <row r="9" spans="1:28" ht="15" customHeight="1" x14ac:dyDescent="0.2">
      <c r="A9" s="91">
        <v>1</v>
      </c>
      <c r="B9" s="47" t="s">
        <v>255</v>
      </c>
      <c r="C9" s="47" t="s">
        <v>259</v>
      </c>
      <c r="D9" s="8" t="s">
        <v>121</v>
      </c>
      <c r="E9" s="8" t="s">
        <v>122</v>
      </c>
      <c r="F9" s="99" t="s">
        <v>467</v>
      </c>
      <c r="G9" s="8" t="s">
        <v>101</v>
      </c>
      <c r="H9" s="8" t="s">
        <v>87</v>
      </c>
      <c r="I9" s="14" t="s">
        <v>426</v>
      </c>
      <c r="J9" s="69">
        <f>LOOKUP(I9,'Pattern lookup'!$A$4:$A$21,'Pattern lookup'!$F$4:$F$21)</f>
        <v>0</v>
      </c>
      <c r="K9" s="54">
        <v>20</v>
      </c>
      <c r="L9" s="13">
        <f ca="1">LOOKUP(I9,'Pattern lookup'!$A$4:$A$29,'Pattern lookup'!$C$4:$C$17)</f>
        <v>37</v>
      </c>
      <c r="M9" s="9">
        <f ca="1">LOOKUP(I9,'Pattern lookup'!$A$4:$A$29,'Pattern lookup'!$D$4:$D$17)</f>
        <v>0</v>
      </c>
      <c r="N9" s="9">
        <f ca="1">LOOKUP(I9,'Pattern lookup'!$A$4:$A$29,'Pattern lookup'!$E$4:$E$17)</f>
        <v>0.35</v>
      </c>
      <c r="O9" s="42">
        <f t="shared" si="0"/>
        <v>0</v>
      </c>
      <c r="P9" s="52">
        <f t="shared" ca="1" si="2"/>
        <v>44</v>
      </c>
      <c r="Q9" s="56" t="s">
        <v>459</v>
      </c>
      <c r="R9">
        <f t="shared" ca="1" si="3"/>
        <v>44</v>
      </c>
      <c r="S9" s="54"/>
      <c r="T9" s="42">
        <f t="shared" ca="1" si="1"/>
        <v>44</v>
      </c>
      <c r="U9">
        <f t="shared" ca="1" si="4"/>
        <v>0</v>
      </c>
      <c r="V9" s="8"/>
      <c r="W9" s="90"/>
      <c r="X9" s="54"/>
      <c r="Y9">
        <f t="shared" ca="1" si="5"/>
        <v>0</v>
      </c>
      <c r="Z9" s="117"/>
      <c r="AA9" s="117">
        <f t="shared" ca="1" si="6"/>
        <v>0</v>
      </c>
      <c r="AB9" s="117">
        <f>LOOKUP(I9,'Pattern lookup'!$A$4:$A$21,'Pattern lookup'!$H$4:$H$21)*X9</f>
        <v>0</v>
      </c>
    </row>
    <row r="10" spans="1:28" ht="15" customHeight="1" x14ac:dyDescent="0.2">
      <c r="A10" s="91">
        <v>1</v>
      </c>
      <c r="B10" s="47" t="s">
        <v>255</v>
      </c>
      <c r="C10" s="47" t="s">
        <v>259</v>
      </c>
      <c r="D10" s="8" t="s">
        <v>121</v>
      </c>
      <c r="E10" s="8" t="s">
        <v>122</v>
      </c>
      <c r="F10" s="100" t="s">
        <v>466</v>
      </c>
      <c r="G10" s="8" t="s">
        <v>101</v>
      </c>
      <c r="H10" s="8" t="s">
        <v>87</v>
      </c>
      <c r="I10" s="14" t="s">
        <v>426</v>
      </c>
      <c r="J10" s="69">
        <f>LOOKUP(I10,'Pattern lookup'!$A$4:$A$21,'Pattern lookup'!$F$4:$F$21)</f>
        <v>0</v>
      </c>
      <c r="K10" s="54">
        <v>20</v>
      </c>
      <c r="L10" s="13">
        <f ca="1">LOOKUP(I10,'Pattern lookup'!$A$4:$A$29,'Pattern lookup'!$C$4:$C$17)</f>
        <v>37</v>
      </c>
      <c r="M10" s="9">
        <f ca="1">LOOKUP(I10,'Pattern lookup'!$A$4:$A$29,'Pattern lookup'!$D$4:$D$17)</f>
        <v>0</v>
      </c>
      <c r="N10" s="9">
        <f ca="1">LOOKUP(I10,'Pattern lookup'!$A$4:$A$29,'Pattern lookup'!$E$4:$E$17)</f>
        <v>0.35</v>
      </c>
      <c r="O10" s="42">
        <f t="shared" si="0"/>
        <v>0</v>
      </c>
      <c r="P10" s="52">
        <f t="shared" ca="1" si="2"/>
        <v>44</v>
      </c>
      <c r="Q10" s="56" t="s">
        <v>459</v>
      </c>
      <c r="R10">
        <f t="shared" ca="1" si="3"/>
        <v>44</v>
      </c>
      <c r="S10" s="54"/>
      <c r="T10" s="42">
        <f t="shared" ca="1" si="1"/>
        <v>44</v>
      </c>
      <c r="U10">
        <f t="shared" ca="1" si="4"/>
        <v>0</v>
      </c>
      <c r="V10" s="8"/>
      <c r="W10" s="90"/>
      <c r="X10" s="54"/>
      <c r="Y10">
        <f t="shared" ca="1" si="5"/>
        <v>0</v>
      </c>
      <c r="Z10" s="117"/>
      <c r="AA10" s="117">
        <f t="shared" ca="1" si="6"/>
        <v>0</v>
      </c>
      <c r="AB10" s="117">
        <f>LOOKUP(I10,'Pattern lookup'!$A$4:$A$21,'Pattern lookup'!$H$4:$H$21)*X10</f>
        <v>0</v>
      </c>
    </row>
    <row r="11" spans="1:28" ht="15" customHeight="1" x14ac:dyDescent="0.2">
      <c r="A11" s="91">
        <v>1</v>
      </c>
      <c r="B11" s="47" t="s">
        <v>254</v>
      </c>
      <c r="C11" s="47" t="s">
        <v>259</v>
      </c>
      <c r="D11" s="8" t="s">
        <v>123</v>
      </c>
      <c r="E11" s="8" t="s">
        <v>124</v>
      </c>
      <c r="F11" s="114" t="s">
        <v>108</v>
      </c>
      <c r="G11" s="8" t="s">
        <v>100</v>
      </c>
      <c r="H11" s="8" t="s">
        <v>87</v>
      </c>
      <c r="I11" s="14" t="s">
        <v>260</v>
      </c>
      <c r="J11" s="69">
        <f>LOOKUP(I11,'Pattern lookup'!$A$4:$A$21,'Pattern lookup'!$F$4:$F$21)</f>
        <v>15</v>
      </c>
      <c r="K11" s="54">
        <v>100</v>
      </c>
      <c r="L11" s="13">
        <f ca="1">LOOKUP(I11,'Pattern lookup'!$A$4:$A$29,'Pattern lookup'!$C$4:$C$17)</f>
        <v>163</v>
      </c>
      <c r="M11" s="9">
        <f ca="1">LOOKUP(I11,'Pattern lookup'!$A$4:$A$29,'Pattern lookup'!$D$4:$D$17)</f>
        <v>46.5</v>
      </c>
      <c r="N11" s="9">
        <f ca="1">LOOKUP(I11,'Pattern lookup'!$A$4:$A$29,'Pattern lookup'!$E$4:$E$17)</f>
        <v>0.7</v>
      </c>
      <c r="O11" s="42">
        <f t="shared" si="0"/>
        <v>7</v>
      </c>
      <c r="P11" s="52">
        <f t="shared" ca="1" si="2"/>
        <v>558.5</v>
      </c>
      <c r="Q11" s="56" t="s">
        <v>458</v>
      </c>
      <c r="R11">
        <f t="shared" ca="1" si="3"/>
        <v>233</v>
      </c>
      <c r="S11" s="54">
        <v>4</v>
      </c>
      <c r="T11" s="42">
        <f t="shared" ca="1" si="1"/>
        <v>419</v>
      </c>
      <c r="U11">
        <f t="shared" ca="1" si="4"/>
        <v>139.5</v>
      </c>
      <c r="V11" s="8"/>
      <c r="W11" s="90"/>
      <c r="X11" s="54">
        <v>3</v>
      </c>
      <c r="Y11">
        <f t="shared" ca="1" si="5"/>
        <v>0</v>
      </c>
      <c r="Z11" s="117"/>
      <c r="AA11" s="117">
        <f t="shared" ca="1" si="6"/>
        <v>139.5</v>
      </c>
      <c r="AB11" s="117">
        <f>LOOKUP(I11,'Pattern lookup'!$A$4:$A$21,'Pattern lookup'!$H$4:$H$21)*X11</f>
        <v>72</v>
      </c>
    </row>
    <row r="12" spans="1:28" ht="15" customHeight="1" x14ac:dyDescent="0.2">
      <c r="A12" s="91">
        <v>1</v>
      </c>
      <c r="B12" s="47" t="s">
        <v>254</v>
      </c>
      <c r="C12" s="47" t="s">
        <v>259</v>
      </c>
      <c r="D12" s="8" t="s">
        <v>123</v>
      </c>
      <c r="E12" s="8" t="s">
        <v>124</v>
      </c>
      <c r="F12" s="114" t="s">
        <v>108</v>
      </c>
      <c r="G12" s="8" t="s">
        <v>100</v>
      </c>
      <c r="H12" s="8" t="s">
        <v>88</v>
      </c>
      <c r="I12" s="14" t="s">
        <v>48</v>
      </c>
      <c r="J12" s="69">
        <f>LOOKUP(I12,'Pattern lookup'!$A$4:$A$21,'Pattern lookup'!$F$4:$F$21)</f>
        <v>15</v>
      </c>
      <c r="K12" s="54">
        <v>11</v>
      </c>
      <c r="L12" s="13">
        <f ca="1">LOOKUP(I12,'Pattern lookup'!$A$4:$A$29,'Pattern lookup'!$C$4:$C$17)</f>
        <v>2</v>
      </c>
      <c r="M12" s="9">
        <f ca="1">LOOKUP(I12,'Pattern lookup'!$A$4:$A$29,'Pattern lookup'!$D$4:$D$17)</f>
        <v>22.5</v>
      </c>
      <c r="N12" s="9">
        <f ca="1">LOOKUP(I12,'Pattern lookup'!$A$4:$A$29,'Pattern lookup'!$E$4:$E$17)</f>
        <v>0.6</v>
      </c>
      <c r="O12" s="42">
        <f t="shared" si="0"/>
        <v>1</v>
      </c>
      <c r="P12" s="52">
        <f t="shared" ca="1" si="2"/>
        <v>31.1</v>
      </c>
      <c r="Q12" s="56" t="s">
        <v>458</v>
      </c>
      <c r="R12">
        <f t="shared" ca="1" si="3"/>
        <v>8.6</v>
      </c>
      <c r="S12" s="54">
        <v>1</v>
      </c>
      <c r="T12" s="42">
        <f t="shared" ca="1" si="1"/>
        <v>31.1</v>
      </c>
      <c r="U12">
        <f t="shared" ca="1" si="4"/>
        <v>0</v>
      </c>
      <c r="V12" s="8"/>
      <c r="W12" s="90"/>
      <c r="X12" s="54"/>
      <c r="Y12">
        <f t="shared" ca="1" si="5"/>
        <v>0</v>
      </c>
      <c r="Z12" s="117"/>
      <c r="AA12" s="117">
        <f t="shared" ca="1" si="6"/>
        <v>0</v>
      </c>
      <c r="AB12" s="117">
        <f>LOOKUP(I12,'Pattern lookup'!$A$4:$A$21,'Pattern lookup'!$H$4:$H$21)*X12</f>
        <v>0</v>
      </c>
    </row>
    <row r="13" spans="1:28" ht="15" customHeight="1" x14ac:dyDescent="0.2">
      <c r="A13" s="91">
        <v>1</v>
      </c>
      <c r="B13" s="47" t="s">
        <v>254</v>
      </c>
      <c r="C13" s="47" t="s">
        <v>259</v>
      </c>
      <c r="D13" s="8" t="s">
        <v>123</v>
      </c>
      <c r="E13" s="8" t="s">
        <v>124</v>
      </c>
      <c r="F13" s="93" t="s">
        <v>99</v>
      </c>
      <c r="G13" s="8" t="s">
        <v>100</v>
      </c>
      <c r="H13" s="8" t="s">
        <v>87</v>
      </c>
      <c r="I13" s="14" t="s">
        <v>110</v>
      </c>
      <c r="J13" s="69">
        <f>LOOKUP(I13,'Pattern lookup'!$A$4:$A$21,'Pattern lookup'!$F$4:$F$21)</f>
        <v>15</v>
      </c>
      <c r="K13" s="54">
        <v>43</v>
      </c>
      <c r="L13" s="13">
        <f ca="1">LOOKUP(I13,'Pattern lookup'!$A$4:$A$29,'Pattern lookup'!$C$4:$C$17)</f>
        <v>56</v>
      </c>
      <c r="M13" s="9">
        <f ca="1">LOOKUP(I13,'Pattern lookup'!$A$4:$A$29,'Pattern lookup'!$D$4:$D$17)</f>
        <v>34.5</v>
      </c>
      <c r="N13" s="9">
        <f ca="1">LOOKUP(I13,'Pattern lookup'!$A$4:$A$29,'Pattern lookup'!$E$4:$E$17)</f>
        <v>0.7</v>
      </c>
      <c r="O13" s="42">
        <f t="shared" si="0"/>
        <v>3</v>
      </c>
      <c r="P13" s="52">
        <f t="shared" ca="1" si="2"/>
        <v>189.6</v>
      </c>
      <c r="Q13" s="56" t="s">
        <v>453</v>
      </c>
      <c r="R13">
        <f t="shared" ca="1" si="3"/>
        <v>86.1</v>
      </c>
      <c r="S13" s="54">
        <v>3</v>
      </c>
      <c r="T13" s="42">
        <f t="shared" ca="1" si="1"/>
        <v>189.6</v>
      </c>
      <c r="U13">
        <f t="shared" ca="1" si="4"/>
        <v>0</v>
      </c>
      <c r="V13" s="8"/>
      <c r="W13" s="90"/>
      <c r="X13" s="54"/>
      <c r="Y13">
        <f t="shared" ca="1" si="5"/>
        <v>0</v>
      </c>
      <c r="Z13" s="117"/>
      <c r="AA13" s="117">
        <f t="shared" ca="1" si="6"/>
        <v>0</v>
      </c>
      <c r="AB13" s="117">
        <f>LOOKUP(I13,'Pattern lookup'!$A$4:$A$21,'Pattern lookup'!$H$4:$H$21)*X13</f>
        <v>0</v>
      </c>
    </row>
    <row r="14" spans="1:28" ht="15" customHeight="1" x14ac:dyDescent="0.2">
      <c r="A14" s="91">
        <v>1</v>
      </c>
      <c r="B14" s="47" t="s">
        <v>254</v>
      </c>
      <c r="C14" s="47" t="s">
        <v>259</v>
      </c>
      <c r="D14" s="8" t="s">
        <v>123</v>
      </c>
      <c r="E14" s="8" t="s">
        <v>124</v>
      </c>
      <c r="F14" s="93" t="s">
        <v>99</v>
      </c>
      <c r="G14" s="8" t="s">
        <v>100</v>
      </c>
      <c r="H14" s="8" t="s">
        <v>88</v>
      </c>
      <c r="I14" s="14" t="s">
        <v>48</v>
      </c>
      <c r="J14" s="69">
        <f>LOOKUP(I14,'Pattern lookup'!$A$4:$A$21,'Pattern lookup'!$F$4:$F$21)</f>
        <v>15</v>
      </c>
      <c r="K14" s="54">
        <v>11</v>
      </c>
      <c r="L14" s="13">
        <f ca="1">LOOKUP(I14,'Pattern lookup'!$A$4:$A$29,'Pattern lookup'!$C$4:$C$17)</f>
        <v>2</v>
      </c>
      <c r="M14" s="9">
        <f ca="1">LOOKUP(I14,'Pattern lookup'!$A$4:$A$29,'Pattern lookup'!$D$4:$D$17)</f>
        <v>22.5</v>
      </c>
      <c r="N14" s="9">
        <f ca="1">LOOKUP(I14,'Pattern lookup'!$A$4:$A$29,'Pattern lookup'!$E$4:$E$17)</f>
        <v>0.6</v>
      </c>
      <c r="O14" s="42">
        <f t="shared" si="0"/>
        <v>1</v>
      </c>
      <c r="P14" s="52">
        <f t="shared" ca="1" si="2"/>
        <v>31.1</v>
      </c>
      <c r="Q14" s="56" t="s">
        <v>453</v>
      </c>
      <c r="R14">
        <f t="shared" ca="1" si="3"/>
        <v>8.6</v>
      </c>
      <c r="S14" s="54">
        <v>1</v>
      </c>
      <c r="T14" s="42">
        <f t="shared" ca="1" si="1"/>
        <v>31.1</v>
      </c>
      <c r="U14">
        <f t="shared" ca="1" si="4"/>
        <v>0</v>
      </c>
      <c r="V14" s="8"/>
      <c r="W14" s="90"/>
      <c r="X14" s="54"/>
      <c r="Y14">
        <f t="shared" ca="1" si="5"/>
        <v>0</v>
      </c>
      <c r="Z14" s="117"/>
      <c r="AA14" s="117">
        <f t="shared" ca="1" si="6"/>
        <v>0</v>
      </c>
      <c r="AB14" s="117">
        <f>LOOKUP(I14,'Pattern lookup'!$A$4:$A$21,'Pattern lookup'!$H$4:$H$21)*X14</f>
        <v>0</v>
      </c>
    </row>
    <row r="15" spans="1:28" ht="15" hidden="1" customHeight="1" x14ac:dyDescent="0.2">
      <c r="A15" s="91">
        <v>0</v>
      </c>
      <c r="B15" s="47" t="s">
        <v>255</v>
      </c>
      <c r="C15" s="47" t="s">
        <v>259</v>
      </c>
      <c r="D15" s="8" t="s">
        <v>123</v>
      </c>
      <c r="E15" s="8" t="s">
        <v>124</v>
      </c>
      <c r="F15" s="100" t="s">
        <v>425</v>
      </c>
      <c r="G15" s="8" t="s">
        <v>101</v>
      </c>
      <c r="H15" s="8" t="s">
        <v>87</v>
      </c>
      <c r="I15" s="14" t="s">
        <v>426</v>
      </c>
      <c r="J15" s="69">
        <f>LOOKUP(I15,'Pattern lookup'!$A$4:$A$21,'Pattern lookup'!$F$4:$F$21)</f>
        <v>0</v>
      </c>
      <c r="K15" s="54">
        <v>20</v>
      </c>
      <c r="L15" s="13">
        <f ca="1">LOOKUP(I15,'Pattern lookup'!$A$4:$A$29,'Pattern lookup'!$C$4:$C$17)</f>
        <v>37</v>
      </c>
      <c r="M15" s="9">
        <f ca="1">LOOKUP(I15,'Pattern lookup'!$A$4:$A$29,'Pattern lookup'!$D$4:$D$17)</f>
        <v>0</v>
      </c>
      <c r="N15" s="9">
        <f ca="1">LOOKUP(I15,'Pattern lookup'!$A$4:$A$29,'Pattern lookup'!$E$4:$E$17)</f>
        <v>0.35</v>
      </c>
      <c r="O15" s="42">
        <f t="shared" si="0"/>
        <v>0</v>
      </c>
      <c r="P15" s="52">
        <f t="shared" si="2"/>
        <v>0</v>
      </c>
      <c r="Q15" s="56" t="s">
        <v>301</v>
      </c>
      <c r="R15">
        <f t="shared" si="3"/>
        <v>0</v>
      </c>
      <c r="S15" s="54"/>
      <c r="T15" s="42">
        <f t="shared" ca="1" si="1"/>
        <v>0</v>
      </c>
      <c r="U15">
        <f t="shared" ca="1" si="4"/>
        <v>0</v>
      </c>
      <c r="V15" s="8"/>
      <c r="W15" s="90"/>
      <c r="X15" s="54"/>
      <c r="Y15">
        <f t="shared" ca="1" si="5"/>
        <v>0</v>
      </c>
      <c r="Z15" s="117"/>
      <c r="AA15" s="117">
        <f t="shared" ca="1" si="6"/>
        <v>0</v>
      </c>
      <c r="AB15" s="117">
        <f>LOOKUP(I15,'Pattern lookup'!$A$4:$A$21,'Pattern lookup'!$H$4:$H$21)*X15</f>
        <v>0</v>
      </c>
    </row>
    <row r="16" spans="1:28" ht="15" customHeight="1" x14ac:dyDescent="0.2">
      <c r="A16" s="91">
        <v>1</v>
      </c>
      <c r="B16" s="47" t="s">
        <v>254</v>
      </c>
      <c r="C16" s="47" t="s">
        <v>259</v>
      </c>
      <c r="D16" s="8" t="s">
        <v>125</v>
      </c>
      <c r="E16" s="8" t="s">
        <v>126</v>
      </c>
      <c r="F16" s="93" t="s">
        <v>99</v>
      </c>
      <c r="G16" s="8" t="s">
        <v>100</v>
      </c>
      <c r="H16" s="8" t="s">
        <v>87</v>
      </c>
      <c r="I16" s="14" t="s">
        <v>260</v>
      </c>
      <c r="J16" s="69">
        <f>LOOKUP(I16,'Pattern lookup'!$A$4:$A$21,'Pattern lookup'!$F$4:$F$21)</f>
        <v>15</v>
      </c>
      <c r="K16" s="54">
        <v>71</v>
      </c>
      <c r="L16" s="13">
        <f ca="1">LOOKUP(I16,'Pattern lookup'!$A$4:$A$29,'Pattern lookup'!$C$4:$C$17)</f>
        <v>163</v>
      </c>
      <c r="M16" s="9">
        <f ca="1">LOOKUP(I16,'Pattern lookup'!$A$4:$A$29,'Pattern lookup'!$D$4:$D$17)</f>
        <v>46.5</v>
      </c>
      <c r="N16" s="9">
        <f ca="1">LOOKUP(I16,'Pattern lookup'!$A$4:$A$29,'Pattern lookup'!$E$4:$E$17)</f>
        <v>0.7</v>
      </c>
      <c r="O16" s="42">
        <f t="shared" si="0"/>
        <v>5</v>
      </c>
      <c r="P16" s="52">
        <f t="shared" ca="1" si="2"/>
        <v>445.2</v>
      </c>
      <c r="Q16" s="56" t="s">
        <v>449</v>
      </c>
      <c r="R16">
        <f t="shared" ca="1" si="3"/>
        <v>212.7</v>
      </c>
      <c r="S16" s="54">
        <v>2</v>
      </c>
      <c r="T16" s="42">
        <f t="shared" ca="1" si="1"/>
        <v>305.7</v>
      </c>
      <c r="U16">
        <f t="shared" ca="1" si="4"/>
        <v>139.5</v>
      </c>
      <c r="V16" s="8"/>
      <c r="W16" s="90"/>
      <c r="X16" s="54">
        <v>3</v>
      </c>
      <c r="Y16">
        <f t="shared" ca="1" si="5"/>
        <v>0</v>
      </c>
      <c r="Z16" s="117"/>
      <c r="AA16" s="117">
        <f t="shared" ca="1" si="6"/>
        <v>139.5</v>
      </c>
      <c r="AB16" s="117">
        <f>LOOKUP(I16,'Pattern lookup'!$A$4:$A$21,'Pattern lookup'!$H$4:$H$21)*X16</f>
        <v>72</v>
      </c>
    </row>
    <row r="17" spans="1:28" ht="15" customHeight="1" x14ac:dyDescent="0.2">
      <c r="A17" s="91">
        <v>1</v>
      </c>
      <c r="B17" s="47" t="s">
        <v>254</v>
      </c>
      <c r="C17" s="47" t="s">
        <v>259</v>
      </c>
      <c r="D17" s="8" t="s">
        <v>125</v>
      </c>
      <c r="E17" s="8" t="s">
        <v>126</v>
      </c>
      <c r="F17" s="93" t="s">
        <v>99</v>
      </c>
      <c r="G17" s="8" t="s">
        <v>100</v>
      </c>
      <c r="H17" s="8" t="s">
        <v>88</v>
      </c>
      <c r="I17" s="14" t="s">
        <v>48</v>
      </c>
      <c r="J17" s="69">
        <f>LOOKUP(I17,'Pattern lookup'!$A$4:$A$21,'Pattern lookup'!$F$4:$F$21)</f>
        <v>15</v>
      </c>
      <c r="K17" s="54">
        <v>14</v>
      </c>
      <c r="L17" s="13">
        <f ca="1">LOOKUP(I17,'Pattern lookup'!$A$4:$A$29,'Pattern lookup'!$C$4:$C$17)</f>
        <v>2</v>
      </c>
      <c r="M17" s="9">
        <f ca="1">LOOKUP(I17,'Pattern lookup'!$A$4:$A$29,'Pattern lookup'!$D$4:$D$17)</f>
        <v>22.5</v>
      </c>
      <c r="N17" s="9">
        <f ca="1">LOOKUP(I17,'Pattern lookup'!$A$4:$A$29,'Pattern lookup'!$E$4:$E$17)</f>
        <v>0.6</v>
      </c>
      <c r="O17" s="42">
        <f t="shared" si="0"/>
        <v>1</v>
      </c>
      <c r="P17" s="52">
        <f t="shared" ca="1" si="2"/>
        <v>32.9</v>
      </c>
      <c r="Q17" s="56" t="s">
        <v>449</v>
      </c>
      <c r="R17">
        <f t="shared" ca="1" si="3"/>
        <v>10.4</v>
      </c>
      <c r="S17" s="54"/>
      <c r="T17" s="42">
        <f t="shared" ca="1" si="1"/>
        <v>10.4</v>
      </c>
      <c r="U17">
        <f t="shared" ca="1" si="4"/>
        <v>22.5</v>
      </c>
      <c r="V17" s="8"/>
      <c r="W17" s="90"/>
      <c r="X17" s="54">
        <v>1</v>
      </c>
      <c r="Y17">
        <f t="shared" ca="1" si="5"/>
        <v>0</v>
      </c>
      <c r="Z17" s="117"/>
      <c r="AA17" s="117">
        <f t="shared" ca="1" si="6"/>
        <v>22.5</v>
      </c>
      <c r="AB17" s="117">
        <f>LOOKUP(I17,'Pattern lookup'!$A$4:$A$21,'Pattern lookup'!$H$4:$H$21)*X17</f>
        <v>12</v>
      </c>
    </row>
    <row r="18" spans="1:28" ht="15" customHeight="1" x14ac:dyDescent="0.2">
      <c r="A18" s="91">
        <v>1</v>
      </c>
      <c r="B18" s="47" t="s">
        <v>255</v>
      </c>
      <c r="C18" s="47" t="s">
        <v>259</v>
      </c>
      <c r="D18" s="8" t="s">
        <v>125</v>
      </c>
      <c r="E18" s="8" t="s">
        <v>126</v>
      </c>
      <c r="F18" s="99" t="s">
        <v>467</v>
      </c>
      <c r="G18" s="8" t="s">
        <v>101</v>
      </c>
      <c r="H18" s="8" t="s">
        <v>87</v>
      </c>
      <c r="I18" s="14" t="s">
        <v>426</v>
      </c>
      <c r="J18" s="69">
        <f>LOOKUP(I18,'Pattern lookup'!$A$4:$A$21,'Pattern lookup'!$F$4:$F$21)</f>
        <v>0</v>
      </c>
      <c r="K18" s="54">
        <v>20</v>
      </c>
      <c r="L18" s="13">
        <f ca="1">LOOKUP(I18,'Pattern lookup'!$A$4:$A$29,'Pattern lookup'!$C$4:$C$17)</f>
        <v>37</v>
      </c>
      <c r="M18" s="9">
        <f ca="1">LOOKUP(I18,'Pattern lookup'!$A$4:$A$29,'Pattern lookup'!$D$4:$D$17)</f>
        <v>0</v>
      </c>
      <c r="N18" s="9">
        <f ca="1">LOOKUP(I18,'Pattern lookup'!$A$4:$A$29,'Pattern lookup'!$E$4:$E$17)</f>
        <v>0.35</v>
      </c>
      <c r="O18" s="42">
        <f t="shared" si="0"/>
        <v>0</v>
      </c>
      <c r="P18" s="52">
        <f t="shared" ca="1" si="2"/>
        <v>44</v>
      </c>
      <c r="Q18" s="56" t="s">
        <v>449</v>
      </c>
      <c r="R18">
        <f t="shared" ca="1" si="3"/>
        <v>44</v>
      </c>
      <c r="S18" s="54"/>
      <c r="T18" s="42">
        <f t="shared" ca="1" si="1"/>
        <v>44</v>
      </c>
      <c r="U18">
        <f t="shared" ca="1" si="4"/>
        <v>0</v>
      </c>
      <c r="V18" s="8"/>
      <c r="W18" s="90"/>
      <c r="X18" s="54"/>
      <c r="Y18">
        <f t="shared" ca="1" si="5"/>
        <v>0</v>
      </c>
      <c r="Z18" s="117"/>
      <c r="AA18" s="117">
        <f t="shared" ca="1" si="6"/>
        <v>0</v>
      </c>
      <c r="AB18" s="117">
        <f>LOOKUP(I18,'Pattern lookup'!$A$4:$A$21,'Pattern lookup'!$H$4:$H$21)*X18</f>
        <v>0</v>
      </c>
    </row>
    <row r="19" spans="1:28" ht="15" customHeight="1" x14ac:dyDescent="0.2">
      <c r="A19" s="91">
        <v>1</v>
      </c>
      <c r="B19" s="47" t="s">
        <v>255</v>
      </c>
      <c r="C19" s="47" t="s">
        <v>259</v>
      </c>
      <c r="D19" s="8" t="s">
        <v>125</v>
      </c>
      <c r="E19" s="8" t="s">
        <v>126</v>
      </c>
      <c r="F19" s="100" t="s">
        <v>466</v>
      </c>
      <c r="G19" s="8" t="s">
        <v>101</v>
      </c>
      <c r="H19" s="8" t="s">
        <v>87</v>
      </c>
      <c r="I19" s="14" t="s">
        <v>426</v>
      </c>
      <c r="J19" s="69">
        <f>LOOKUP(I19,'Pattern lookup'!$A$4:$A$21,'Pattern lookup'!$F$4:$F$21)</f>
        <v>0</v>
      </c>
      <c r="K19" s="54">
        <v>20</v>
      </c>
      <c r="L19" s="13">
        <f ca="1">LOOKUP(I19,'Pattern lookup'!$A$4:$A$29,'Pattern lookup'!$C$4:$C$17)</f>
        <v>37</v>
      </c>
      <c r="M19" s="9">
        <f ca="1">LOOKUP(I19,'Pattern lookup'!$A$4:$A$29,'Pattern lookup'!$D$4:$D$17)</f>
        <v>0</v>
      </c>
      <c r="N19" s="9">
        <f ca="1">LOOKUP(I19,'Pattern lookup'!$A$4:$A$29,'Pattern lookup'!$E$4:$E$17)</f>
        <v>0.35</v>
      </c>
      <c r="O19" s="42">
        <f t="shared" si="0"/>
        <v>0</v>
      </c>
      <c r="P19" s="52">
        <f t="shared" ca="1" si="2"/>
        <v>44</v>
      </c>
      <c r="Q19" s="56" t="s">
        <v>449</v>
      </c>
      <c r="R19">
        <f t="shared" ca="1" si="3"/>
        <v>44</v>
      </c>
      <c r="S19" s="54"/>
      <c r="T19" s="42">
        <f t="shared" ca="1" si="1"/>
        <v>44</v>
      </c>
      <c r="U19">
        <f t="shared" ca="1" si="4"/>
        <v>0</v>
      </c>
      <c r="V19" s="8"/>
      <c r="W19" s="90"/>
      <c r="X19" s="54"/>
      <c r="Y19">
        <f t="shared" ca="1" si="5"/>
        <v>0</v>
      </c>
      <c r="Z19" s="117"/>
      <c r="AA19" s="117">
        <f t="shared" ca="1" si="6"/>
        <v>0</v>
      </c>
      <c r="AB19" s="117">
        <f>LOOKUP(I19,'Pattern lookup'!$A$4:$A$21,'Pattern lookup'!$H$4:$H$21)*X19</f>
        <v>0</v>
      </c>
    </row>
    <row r="20" spans="1:28" ht="15" customHeight="1" x14ac:dyDescent="0.2">
      <c r="A20" s="91">
        <v>1</v>
      </c>
      <c r="B20" s="47" t="s">
        <v>254</v>
      </c>
      <c r="C20" s="47" t="s">
        <v>259</v>
      </c>
      <c r="D20" s="8" t="s">
        <v>127</v>
      </c>
      <c r="E20" s="8" t="s">
        <v>128</v>
      </c>
      <c r="F20" s="114" t="s">
        <v>108</v>
      </c>
      <c r="G20" s="8" t="s">
        <v>100</v>
      </c>
      <c r="H20" s="8" t="s">
        <v>87</v>
      </c>
      <c r="I20" s="14" t="s">
        <v>260</v>
      </c>
      <c r="J20" s="69">
        <f>LOOKUP(I20,'Pattern lookup'!$A$4:$A$21,'Pattern lookup'!$F$4:$F$21)</f>
        <v>15</v>
      </c>
      <c r="K20" s="54">
        <v>138</v>
      </c>
      <c r="L20" s="13">
        <f ca="1">LOOKUP(I20,'Pattern lookup'!$A$4:$A$29,'Pattern lookup'!$C$4:$C$17)</f>
        <v>163</v>
      </c>
      <c r="M20" s="9">
        <f ca="1">LOOKUP(I20,'Pattern lookup'!$A$4:$A$29,'Pattern lookup'!$D$4:$D$17)</f>
        <v>46.5</v>
      </c>
      <c r="N20" s="9">
        <f ca="1">LOOKUP(I20,'Pattern lookup'!$A$4:$A$29,'Pattern lookup'!$E$4:$E$17)</f>
        <v>0.7</v>
      </c>
      <c r="O20" s="42">
        <f t="shared" si="0"/>
        <v>10</v>
      </c>
      <c r="P20" s="52">
        <f t="shared" ca="1" si="2"/>
        <v>724.6</v>
      </c>
      <c r="Q20" s="56" t="s">
        <v>446</v>
      </c>
      <c r="R20">
        <f t="shared" ca="1" si="3"/>
        <v>259.60000000000002</v>
      </c>
      <c r="S20" s="54"/>
      <c r="T20" s="41">
        <f t="shared" ca="1" si="1"/>
        <v>259.60000000000002</v>
      </c>
      <c r="U20">
        <f t="shared" ca="1" si="4"/>
        <v>465</v>
      </c>
      <c r="V20" s="8"/>
      <c r="W20" s="90"/>
      <c r="X20" s="54">
        <v>10</v>
      </c>
      <c r="Y20">
        <f t="shared" ca="1" si="5"/>
        <v>0</v>
      </c>
      <c r="Z20" s="117"/>
      <c r="AA20" s="117">
        <f t="shared" ca="1" si="6"/>
        <v>465</v>
      </c>
      <c r="AB20" s="117">
        <f>LOOKUP(I20,'Pattern lookup'!$A$4:$A$21,'Pattern lookup'!$H$4:$H$21)*X20</f>
        <v>240</v>
      </c>
    </row>
    <row r="21" spans="1:28" ht="15" customHeight="1" x14ac:dyDescent="0.2">
      <c r="A21" s="91">
        <v>1</v>
      </c>
      <c r="B21" s="47" t="s">
        <v>254</v>
      </c>
      <c r="C21" s="47" t="s">
        <v>259</v>
      </c>
      <c r="D21" s="8" t="s">
        <v>127</v>
      </c>
      <c r="E21" s="8" t="s">
        <v>128</v>
      </c>
      <c r="F21" s="114" t="s">
        <v>108</v>
      </c>
      <c r="G21" s="8" t="s">
        <v>100</v>
      </c>
      <c r="H21" s="8" t="s">
        <v>88</v>
      </c>
      <c r="I21" s="14" t="s">
        <v>48</v>
      </c>
      <c r="J21" s="69">
        <f>LOOKUP(I21,'Pattern lookup'!$A$4:$A$21,'Pattern lookup'!$F$4:$F$21)</f>
        <v>15</v>
      </c>
      <c r="K21" s="54">
        <v>18</v>
      </c>
      <c r="L21" s="13">
        <f ca="1">LOOKUP(I21,'Pattern lookup'!$A$4:$A$29,'Pattern lookup'!$C$4:$C$17)</f>
        <v>2</v>
      </c>
      <c r="M21" s="9">
        <f ca="1">LOOKUP(I21,'Pattern lookup'!$A$4:$A$29,'Pattern lookup'!$D$4:$D$17)</f>
        <v>22.5</v>
      </c>
      <c r="N21" s="9">
        <f ca="1">LOOKUP(I21,'Pattern lookup'!$A$4:$A$29,'Pattern lookup'!$E$4:$E$17)</f>
        <v>0.6</v>
      </c>
      <c r="O21" s="42">
        <f t="shared" si="0"/>
        <v>2</v>
      </c>
      <c r="P21" s="52">
        <f t="shared" ca="1" si="2"/>
        <v>57.8</v>
      </c>
      <c r="Q21" s="56" t="s">
        <v>446</v>
      </c>
      <c r="R21">
        <f t="shared" ca="1" si="3"/>
        <v>12.799999999999999</v>
      </c>
      <c r="S21" s="54"/>
      <c r="T21" s="42">
        <f t="shared" ca="1" si="1"/>
        <v>12.799999999999999</v>
      </c>
      <c r="U21">
        <f t="shared" ca="1" si="4"/>
        <v>45</v>
      </c>
      <c r="V21" s="8"/>
      <c r="W21" s="90"/>
      <c r="X21" s="54">
        <v>2</v>
      </c>
      <c r="Y21">
        <f t="shared" ca="1" si="5"/>
        <v>0</v>
      </c>
      <c r="Z21" s="117"/>
      <c r="AA21" s="117">
        <f t="shared" ca="1" si="6"/>
        <v>45</v>
      </c>
      <c r="AB21" s="117">
        <f>LOOKUP(I21,'Pattern lookup'!$A$4:$A$21,'Pattern lookup'!$H$4:$H$21)*X21</f>
        <v>24</v>
      </c>
    </row>
    <row r="22" spans="1:28" ht="15" customHeight="1" x14ac:dyDescent="0.2">
      <c r="A22" s="91">
        <v>1</v>
      </c>
      <c r="B22" s="47" t="s">
        <v>254</v>
      </c>
      <c r="C22" s="47" t="s">
        <v>259</v>
      </c>
      <c r="D22" s="8" t="s">
        <v>127</v>
      </c>
      <c r="E22" s="8" t="s">
        <v>128</v>
      </c>
      <c r="F22" s="93" t="s">
        <v>99</v>
      </c>
      <c r="G22" s="8" t="s">
        <v>100</v>
      </c>
      <c r="H22" s="8" t="s">
        <v>88</v>
      </c>
      <c r="I22" s="14" t="s">
        <v>55</v>
      </c>
      <c r="J22" s="69">
        <f>LOOKUP(I22,'Pattern lookup'!$A$4:$A$21,'Pattern lookup'!$F$4:$F$21)</f>
        <v>15</v>
      </c>
      <c r="K22" s="54">
        <v>37</v>
      </c>
      <c r="L22" s="13">
        <f ca="1">LOOKUP(I22,'Pattern lookup'!$A$4:$A$29,'Pattern lookup'!$C$4:$C$17)</f>
        <v>28</v>
      </c>
      <c r="M22" s="9">
        <f ca="1">LOOKUP(I22,'Pattern lookup'!$A$4:$A$29,'Pattern lookup'!$D$4:$D$17)</f>
        <v>22.5</v>
      </c>
      <c r="N22" s="9">
        <f ca="1">LOOKUP(I22,'Pattern lookup'!$A$4:$A$29,'Pattern lookup'!$E$4:$E$17)</f>
        <v>0.6</v>
      </c>
      <c r="O22" s="42">
        <f t="shared" si="0"/>
        <v>3</v>
      </c>
      <c r="P22" s="52">
        <f t="shared" ca="1" si="2"/>
        <v>117.7</v>
      </c>
      <c r="Q22" s="56" t="s">
        <v>448</v>
      </c>
      <c r="R22">
        <f t="shared" ca="1" si="3"/>
        <v>50.2</v>
      </c>
      <c r="S22" s="54"/>
      <c r="T22" s="42">
        <f t="shared" ca="1" si="1"/>
        <v>50.2</v>
      </c>
      <c r="U22">
        <f t="shared" ca="1" si="4"/>
        <v>67.5</v>
      </c>
      <c r="V22" s="8"/>
      <c r="W22" s="90"/>
      <c r="X22" s="54">
        <v>3</v>
      </c>
      <c r="Y22">
        <f t="shared" ca="1" si="5"/>
        <v>0</v>
      </c>
      <c r="Z22" s="117" t="s">
        <v>438</v>
      </c>
      <c r="AA22" s="117">
        <f t="shared" ca="1" si="6"/>
        <v>67.5</v>
      </c>
      <c r="AB22" s="117">
        <f>LOOKUP(I22,'Pattern lookup'!$A$4:$A$21,'Pattern lookup'!$H$4:$H$21)*X22</f>
        <v>36</v>
      </c>
    </row>
    <row r="23" spans="1:28" ht="15" hidden="1" customHeight="1" x14ac:dyDescent="0.2">
      <c r="A23" s="91">
        <v>0</v>
      </c>
      <c r="B23" s="47" t="s">
        <v>254</v>
      </c>
      <c r="C23" s="47" t="s">
        <v>259</v>
      </c>
      <c r="D23" s="8" t="s">
        <v>127</v>
      </c>
      <c r="E23" s="8" t="s">
        <v>128</v>
      </c>
      <c r="F23" s="114" t="s">
        <v>108</v>
      </c>
      <c r="G23" s="8" t="s">
        <v>138</v>
      </c>
      <c r="H23" s="8" t="s">
        <v>87</v>
      </c>
      <c r="I23" s="14" t="s">
        <v>56</v>
      </c>
      <c r="J23" s="69">
        <f>LOOKUP(I23,'Pattern lookup'!$A$4:$A$21,'Pattern lookup'!$F$4:$F$21)</f>
        <v>15</v>
      </c>
      <c r="K23" s="54">
        <v>10</v>
      </c>
      <c r="L23" s="13">
        <f ca="1">LOOKUP(I23,'Pattern lookup'!$A$4:$A$29,'Pattern lookup'!$C$4:$C$17)</f>
        <v>29</v>
      </c>
      <c r="M23" s="9">
        <f ca="1">LOOKUP(I23,'Pattern lookup'!$A$4:$A$29,'Pattern lookup'!$D$4:$D$17)</f>
        <v>34.5</v>
      </c>
      <c r="N23" s="9">
        <f ca="1">LOOKUP(I23,'Pattern lookup'!$A$4:$A$29,'Pattern lookup'!$E$4:$E$17)</f>
        <v>0.7</v>
      </c>
      <c r="O23" s="42">
        <f t="shared" si="0"/>
        <v>1</v>
      </c>
      <c r="P23" s="52">
        <f t="shared" si="2"/>
        <v>0</v>
      </c>
      <c r="Q23" s="56" t="s">
        <v>301</v>
      </c>
      <c r="R23">
        <f t="shared" si="3"/>
        <v>0</v>
      </c>
      <c r="S23" s="54"/>
      <c r="T23" s="42">
        <f t="shared" ca="1" si="1"/>
        <v>0</v>
      </c>
      <c r="U23">
        <f t="shared" ca="1" si="4"/>
        <v>0</v>
      </c>
      <c r="V23" s="8"/>
      <c r="W23" s="90"/>
      <c r="X23" s="54"/>
      <c r="Y23">
        <f t="shared" ca="1" si="5"/>
        <v>0</v>
      </c>
      <c r="Z23" s="117"/>
      <c r="AA23" s="117">
        <f t="shared" ca="1" si="6"/>
        <v>0</v>
      </c>
      <c r="AB23" s="117">
        <f>LOOKUP(I23,'Pattern lookup'!$A$4:$A$21,'Pattern lookup'!$H$4:$H$21)*X23</f>
        <v>0</v>
      </c>
    </row>
    <row r="24" spans="1:28" ht="15" customHeight="1" x14ac:dyDescent="0.2">
      <c r="A24" s="91">
        <v>1</v>
      </c>
      <c r="B24" s="47" t="s">
        <v>254</v>
      </c>
      <c r="C24" s="47" t="s">
        <v>259</v>
      </c>
      <c r="D24" s="8" t="s">
        <v>129</v>
      </c>
      <c r="E24" s="8" t="s">
        <v>130</v>
      </c>
      <c r="F24" s="93" t="s">
        <v>99</v>
      </c>
      <c r="G24" s="8" t="s">
        <v>100</v>
      </c>
      <c r="H24" s="8" t="s">
        <v>87</v>
      </c>
      <c r="I24" s="14" t="s">
        <v>260</v>
      </c>
      <c r="J24" s="69">
        <f>LOOKUP(I24,'Pattern lookup'!$A$4:$A$21,'Pattern lookup'!$F$4:$F$21)</f>
        <v>15</v>
      </c>
      <c r="K24" s="54">
        <v>83</v>
      </c>
      <c r="L24" s="13">
        <f ca="1">LOOKUP(I24,'Pattern lookup'!$A$4:$A$29,'Pattern lookup'!$C$4:$C$17)</f>
        <v>163</v>
      </c>
      <c r="M24" s="9">
        <f ca="1">LOOKUP(I24,'Pattern lookup'!$A$4:$A$29,'Pattern lookup'!$D$4:$D$17)</f>
        <v>46.5</v>
      </c>
      <c r="N24" s="9">
        <f ca="1">LOOKUP(I24,'Pattern lookup'!$A$4:$A$29,'Pattern lookup'!$E$4:$E$17)</f>
        <v>0.7</v>
      </c>
      <c r="O24" s="42">
        <f t="shared" si="0"/>
        <v>6</v>
      </c>
      <c r="P24" s="52">
        <f t="shared" ca="1" si="2"/>
        <v>500.1</v>
      </c>
      <c r="Q24" s="56" t="s">
        <v>455</v>
      </c>
      <c r="R24">
        <f t="shared" ca="1" si="3"/>
        <v>221.1</v>
      </c>
      <c r="S24" s="54">
        <v>1</v>
      </c>
      <c r="T24" s="42">
        <f t="shared" ca="1" si="1"/>
        <v>267.60000000000002</v>
      </c>
      <c r="U24">
        <f t="shared" ca="1" si="4"/>
        <v>232.5</v>
      </c>
      <c r="V24" s="8"/>
      <c r="W24" s="90"/>
      <c r="X24" s="54">
        <v>5</v>
      </c>
      <c r="Y24">
        <f t="shared" ca="1" si="5"/>
        <v>0</v>
      </c>
      <c r="Z24" s="117"/>
      <c r="AA24" s="117">
        <f t="shared" ca="1" si="6"/>
        <v>232.5</v>
      </c>
      <c r="AB24" s="117">
        <f>LOOKUP(I24,'Pattern lookup'!$A$4:$A$21,'Pattern lookup'!$H$4:$H$21)*X24</f>
        <v>120</v>
      </c>
    </row>
    <row r="25" spans="1:28" ht="15" customHeight="1" x14ac:dyDescent="0.2">
      <c r="A25" s="91">
        <v>1</v>
      </c>
      <c r="B25" s="47" t="s">
        <v>254</v>
      </c>
      <c r="C25" s="47" t="s">
        <v>259</v>
      </c>
      <c r="D25" s="8" t="s">
        <v>129</v>
      </c>
      <c r="E25" s="8" t="s">
        <v>130</v>
      </c>
      <c r="F25" s="93" t="s">
        <v>99</v>
      </c>
      <c r="G25" s="8" t="s">
        <v>100</v>
      </c>
      <c r="H25" s="8" t="s">
        <v>88</v>
      </c>
      <c r="I25" s="14" t="s">
        <v>48</v>
      </c>
      <c r="J25" s="69">
        <f>LOOKUP(I25,'Pattern lookup'!$A$4:$A$21,'Pattern lookup'!$F$4:$F$21)</f>
        <v>15</v>
      </c>
      <c r="K25" s="54">
        <v>10</v>
      </c>
      <c r="L25" s="13">
        <f ca="1">LOOKUP(I25,'Pattern lookup'!$A$4:$A$29,'Pattern lookup'!$C$4:$C$17)</f>
        <v>2</v>
      </c>
      <c r="M25" s="9">
        <f ca="1">LOOKUP(I25,'Pattern lookup'!$A$4:$A$29,'Pattern lookup'!$D$4:$D$17)</f>
        <v>22.5</v>
      </c>
      <c r="N25" s="9">
        <f ca="1">LOOKUP(I25,'Pattern lookup'!$A$4:$A$29,'Pattern lookup'!$E$4:$E$17)</f>
        <v>0.6</v>
      </c>
      <c r="O25" s="42">
        <f t="shared" si="0"/>
        <v>1</v>
      </c>
      <c r="P25" s="52">
        <f t="shared" ca="1" si="2"/>
        <v>30.5</v>
      </c>
      <c r="Q25" s="56" t="s">
        <v>455</v>
      </c>
      <c r="R25">
        <f t="shared" ca="1" si="3"/>
        <v>8</v>
      </c>
      <c r="S25" s="54"/>
      <c r="T25" s="42">
        <f t="shared" ca="1" si="1"/>
        <v>8</v>
      </c>
      <c r="U25">
        <f t="shared" ca="1" si="4"/>
        <v>22.5</v>
      </c>
      <c r="V25" s="8"/>
      <c r="W25" s="90"/>
      <c r="X25" s="54">
        <v>1</v>
      </c>
      <c r="Y25">
        <f t="shared" ca="1" si="5"/>
        <v>0</v>
      </c>
      <c r="Z25" s="117"/>
      <c r="AA25" s="117">
        <f t="shared" ca="1" si="6"/>
        <v>22.5</v>
      </c>
      <c r="AB25" s="117">
        <f>LOOKUP(I25,'Pattern lookup'!$A$4:$A$21,'Pattern lookup'!$H$4:$H$21)*X25</f>
        <v>12</v>
      </c>
    </row>
    <row r="26" spans="1:28" ht="15" customHeight="1" x14ac:dyDescent="0.2">
      <c r="A26" s="91">
        <v>1</v>
      </c>
      <c r="B26" s="47" t="s">
        <v>255</v>
      </c>
      <c r="C26" s="47" t="s">
        <v>259</v>
      </c>
      <c r="D26" s="8" t="s">
        <v>129</v>
      </c>
      <c r="E26" s="8" t="s">
        <v>130</v>
      </c>
      <c r="F26" s="99" t="s">
        <v>467</v>
      </c>
      <c r="G26" s="8" t="s">
        <v>101</v>
      </c>
      <c r="H26" s="8" t="s">
        <v>87</v>
      </c>
      <c r="I26" s="14" t="s">
        <v>426</v>
      </c>
      <c r="J26" s="69">
        <f>LOOKUP(I26,'Pattern lookup'!$A$4:$A$21,'Pattern lookup'!$F$4:$F$21)</f>
        <v>0</v>
      </c>
      <c r="K26" s="54">
        <v>20</v>
      </c>
      <c r="L26" s="13">
        <f ca="1">LOOKUP(I26,'Pattern lookup'!$A$4:$A$29,'Pattern lookup'!$C$4:$C$17)</f>
        <v>37</v>
      </c>
      <c r="M26" s="9">
        <f ca="1">LOOKUP(I26,'Pattern lookup'!$A$4:$A$29,'Pattern lookup'!$D$4:$D$17)</f>
        <v>0</v>
      </c>
      <c r="N26" s="9">
        <f ca="1">LOOKUP(I26,'Pattern lookup'!$A$4:$A$29,'Pattern lookup'!$E$4:$E$17)</f>
        <v>0.35</v>
      </c>
      <c r="O26" s="42">
        <f t="shared" si="0"/>
        <v>0</v>
      </c>
      <c r="P26" s="52">
        <f t="shared" ca="1" si="2"/>
        <v>44</v>
      </c>
      <c r="Q26" s="56" t="s">
        <v>455</v>
      </c>
      <c r="R26">
        <f t="shared" ca="1" si="3"/>
        <v>44</v>
      </c>
      <c r="S26" s="54"/>
      <c r="T26" s="42">
        <f t="shared" ca="1" si="1"/>
        <v>44</v>
      </c>
      <c r="U26">
        <f t="shared" ca="1" si="4"/>
        <v>0</v>
      </c>
      <c r="V26" s="8"/>
      <c r="W26" s="90"/>
      <c r="X26" s="54"/>
      <c r="Y26">
        <f t="shared" ca="1" si="5"/>
        <v>0</v>
      </c>
      <c r="Z26" s="117"/>
      <c r="AA26" s="117">
        <f t="shared" ca="1" si="6"/>
        <v>0</v>
      </c>
      <c r="AB26" s="117">
        <f>LOOKUP(I26,'Pattern lookup'!$A$4:$A$21,'Pattern lookup'!$H$4:$H$21)*X26</f>
        <v>0</v>
      </c>
    </row>
    <row r="27" spans="1:28" ht="15" customHeight="1" x14ac:dyDescent="0.2">
      <c r="A27" s="91">
        <v>1</v>
      </c>
      <c r="B27" s="47" t="s">
        <v>255</v>
      </c>
      <c r="C27" s="47" t="s">
        <v>259</v>
      </c>
      <c r="D27" s="8" t="s">
        <v>129</v>
      </c>
      <c r="E27" s="8" t="s">
        <v>130</v>
      </c>
      <c r="F27" s="100" t="s">
        <v>466</v>
      </c>
      <c r="G27" s="8" t="s">
        <v>101</v>
      </c>
      <c r="H27" s="8" t="s">
        <v>87</v>
      </c>
      <c r="I27" s="14" t="s">
        <v>426</v>
      </c>
      <c r="J27" s="69">
        <f>LOOKUP(I27,'Pattern lookup'!$A$4:$A$21,'Pattern lookup'!$F$4:$F$21)</f>
        <v>0</v>
      </c>
      <c r="K27" s="54">
        <v>20</v>
      </c>
      <c r="L27" s="13">
        <f ca="1">LOOKUP(I27,'Pattern lookup'!$A$4:$A$29,'Pattern lookup'!$C$4:$C$17)</f>
        <v>37</v>
      </c>
      <c r="M27" s="9">
        <f ca="1">LOOKUP(I27,'Pattern lookup'!$A$4:$A$29,'Pattern lookup'!$D$4:$D$17)</f>
        <v>0</v>
      </c>
      <c r="N27" s="9">
        <f ca="1">LOOKUP(I27,'Pattern lookup'!$A$4:$A$29,'Pattern lookup'!$E$4:$E$17)</f>
        <v>0.35</v>
      </c>
      <c r="O27" s="42">
        <f t="shared" si="0"/>
        <v>0</v>
      </c>
      <c r="P27" s="52">
        <f t="shared" ca="1" si="2"/>
        <v>44</v>
      </c>
      <c r="Q27" s="56" t="s">
        <v>455</v>
      </c>
      <c r="R27">
        <f t="shared" ca="1" si="3"/>
        <v>44</v>
      </c>
      <c r="S27" s="54"/>
      <c r="T27" s="42">
        <f t="shared" ca="1" si="1"/>
        <v>44</v>
      </c>
      <c r="U27">
        <f t="shared" ca="1" si="4"/>
        <v>0</v>
      </c>
      <c r="V27" s="8"/>
      <c r="W27" s="90"/>
      <c r="X27" s="54"/>
      <c r="Y27">
        <f t="shared" ca="1" si="5"/>
        <v>0</v>
      </c>
      <c r="Z27" s="117"/>
      <c r="AA27" s="117">
        <f t="shared" ca="1" si="6"/>
        <v>0</v>
      </c>
      <c r="AB27" s="117">
        <f>LOOKUP(I27,'Pattern lookup'!$A$4:$A$21,'Pattern lookup'!$H$4:$H$21)*X27</f>
        <v>0</v>
      </c>
    </row>
    <row r="28" spans="1:28" ht="15" customHeight="1" x14ac:dyDescent="0.2">
      <c r="A28" s="91">
        <v>1</v>
      </c>
      <c r="B28" s="47" t="s">
        <v>254</v>
      </c>
      <c r="C28" s="47" t="s">
        <v>259</v>
      </c>
      <c r="D28" s="8" t="s">
        <v>104</v>
      </c>
      <c r="E28" s="8" t="s">
        <v>105</v>
      </c>
      <c r="F28" s="93" t="s">
        <v>99</v>
      </c>
      <c r="G28" s="8" t="s">
        <v>100</v>
      </c>
      <c r="H28" s="8" t="s">
        <v>87</v>
      </c>
      <c r="I28" s="14" t="s">
        <v>260</v>
      </c>
      <c r="J28" s="69">
        <f>LOOKUP(I28,'Pattern lookup'!$A$4:$A$21,'Pattern lookup'!$F$4:$F$21)</f>
        <v>15</v>
      </c>
      <c r="K28" s="54">
        <v>55</v>
      </c>
      <c r="L28" s="13">
        <f ca="1">LOOKUP(I28,'Pattern lookup'!$A$4:$A$29,'Pattern lookup'!$C$4:$C$17)</f>
        <v>163</v>
      </c>
      <c r="M28" s="9">
        <f ca="1">LOOKUP(I28,'Pattern lookup'!$A$4:$A$29,'Pattern lookup'!$D$4:$D$17)</f>
        <v>46.5</v>
      </c>
      <c r="N28" s="9">
        <f ca="1">LOOKUP(I28,'Pattern lookup'!$A$4:$A$29,'Pattern lookup'!$E$4:$E$17)</f>
        <v>0.7</v>
      </c>
      <c r="O28" s="42">
        <f t="shared" si="0"/>
        <v>4</v>
      </c>
      <c r="P28" s="52">
        <f t="shared" ca="1" si="2"/>
        <v>387.5</v>
      </c>
      <c r="Q28" s="56" t="s">
        <v>462</v>
      </c>
      <c r="R28">
        <f t="shared" ca="1" si="3"/>
        <v>201.5</v>
      </c>
      <c r="S28" s="54">
        <v>2</v>
      </c>
      <c r="T28" s="42">
        <f t="shared" ca="1" si="1"/>
        <v>294.5</v>
      </c>
      <c r="U28">
        <f t="shared" ca="1" si="4"/>
        <v>93</v>
      </c>
      <c r="V28" s="8"/>
      <c r="W28" s="90"/>
      <c r="X28" s="54">
        <v>2</v>
      </c>
      <c r="Y28">
        <f t="shared" ca="1" si="5"/>
        <v>0</v>
      </c>
      <c r="Z28" s="117"/>
      <c r="AA28" s="117">
        <f t="shared" ca="1" si="6"/>
        <v>93</v>
      </c>
      <c r="AB28" s="117">
        <f>LOOKUP(I28,'Pattern lookup'!$A$4:$A$21,'Pattern lookup'!$H$4:$H$21)*X28</f>
        <v>48</v>
      </c>
    </row>
    <row r="29" spans="1:28" ht="15" customHeight="1" x14ac:dyDescent="0.2">
      <c r="A29" s="91">
        <v>1</v>
      </c>
      <c r="B29" s="47" t="s">
        <v>254</v>
      </c>
      <c r="C29" s="47" t="s">
        <v>259</v>
      </c>
      <c r="D29" s="8" t="s">
        <v>104</v>
      </c>
      <c r="E29" s="8" t="s">
        <v>105</v>
      </c>
      <c r="F29" s="93" t="s">
        <v>99</v>
      </c>
      <c r="G29" s="8" t="s">
        <v>100</v>
      </c>
      <c r="H29" s="8" t="s">
        <v>88</v>
      </c>
      <c r="I29" s="14" t="s">
        <v>48</v>
      </c>
      <c r="J29" s="69">
        <f>LOOKUP(I29,'Pattern lookup'!$A$4:$A$21,'Pattern lookup'!$F$4:$F$21)</f>
        <v>15</v>
      </c>
      <c r="K29" s="54">
        <v>15</v>
      </c>
      <c r="L29" s="13">
        <f ca="1">LOOKUP(I29,'Pattern lookup'!$A$4:$A$29,'Pattern lookup'!$C$4:$C$17)</f>
        <v>2</v>
      </c>
      <c r="M29" s="9">
        <f ca="1">LOOKUP(I29,'Pattern lookup'!$A$4:$A$29,'Pattern lookup'!$D$4:$D$17)</f>
        <v>22.5</v>
      </c>
      <c r="N29" s="9">
        <f ca="1">LOOKUP(I29,'Pattern lookup'!$A$4:$A$29,'Pattern lookup'!$E$4:$E$17)</f>
        <v>0.6</v>
      </c>
      <c r="O29" s="42">
        <f t="shared" si="0"/>
        <v>1</v>
      </c>
      <c r="P29" s="52">
        <f t="shared" ca="1" si="2"/>
        <v>33.5</v>
      </c>
      <c r="Q29" s="56" t="s">
        <v>462</v>
      </c>
      <c r="R29">
        <f t="shared" ca="1" si="3"/>
        <v>11</v>
      </c>
      <c r="S29" s="54">
        <v>1</v>
      </c>
      <c r="T29" s="41">
        <f t="shared" ca="1" si="1"/>
        <v>33.5</v>
      </c>
      <c r="U29">
        <f t="shared" ca="1" si="4"/>
        <v>0</v>
      </c>
      <c r="V29" s="92"/>
      <c r="W29" s="90"/>
      <c r="X29" s="54"/>
      <c r="Y29">
        <f t="shared" ca="1" si="5"/>
        <v>0</v>
      </c>
      <c r="Z29" s="117"/>
      <c r="AA29" s="117">
        <f t="shared" ca="1" si="6"/>
        <v>0</v>
      </c>
      <c r="AB29" s="117">
        <f>LOOKUP(I29,'Pattern lookup'!$A$4:$A$21,'Pattern lookup'!$H$4:$H$21)*X29</f>
        <v>0</v>
      </c>
    </row>
    <row r="30" spans="1:28" ht="15" hidden="1" customHeight="1" x14ac:dyDescent="0.2">
      <c r="A30" s="91">
        <v>0</v>
      </c>
      <c r="B30" s="47" t="s">
        <v>255</v>
      </c>
      <c r="C30" s="47" t="s">
        <v>259</v>
      </c>
      <c r="D30" s="8" t="s">
        <v>104</v>
      </c>
      <c r="E30" s="8" t="s">
        <v>105</v>
      </c>
      <c r="F30" s="100" t="s">
        <v>425</v>
      </c>
      <c r="G30" s="8" t="s">
        <v>101</v>
      </c>
      <c r="H30" s="8" t="s">
        <v>87</v>
      </c>
      <c r="I30" s="14" t="s">
        <v>426</v>
      </c>
      <c r="J30" s="69">
        <f>LOOKUP(I30,'Pattern lookup'!$A$4:$A$21,'Pattern lookup'!$F$4:$F$21)</f>
        <v>0</v>
      </c>
      <c r="K30" s="54">
        <v>20</v>
      </c>
      <c r="L30" s="13">
        <f ca="1">LOOKUP(I30,'Pattern lookup'!$A$4:$A$29,'Pattern lookup'!$C$4:$C$17)</f>
        <v>37</v>
      </c>
      <c r="M30" s="9">
        <f ca="1">LOOKUP(I30,'Pattern lookup'!$A$4:$A$29,'Pattern lookup'!$D$4:$D$17)</f>
        <v>0</v>
      </c>
      <c r="N30" s="9">
        <f ca="1">LOOKUP(I30,'Pattern lookup'!$A$4:$A$29,'Pattern lookup'!$E$4:$E$17)</f>
        <v>0.35</v>
      </c>
      <c r="O30" s="42">
        <f t="shared" si="0"/>
        <v>0</v>
      </c>
      <c r="P30" s="52">
        <f t="shared" si="2"/>
        <v>0</v>
      </c>
      <c r="Q30" s="56" t="s">
        <v>301</v>
      </c>
      <c r="R30">
        <f t="shared" si="3"/>
        <v>0</v>
      </c>
      <c r="S30" s="54"/>
      <c r="T30" s="42">
        <f t="shared" ca="1" si="1"/>
        <v>0</v>
      </c>
      <c r="U30">
        <f t="shared" ca="1" si="4"/>
        <v>0</v>
      </c>
      <c r="V30" s="8"/>
      <c r="W30" s="90"/>
      <c r="X30" s="54"/>
      <c r="Y30">
        <f t="shared" ca="1" si="5"/>
        <v>0</v>
      </c>
      <c r="Z30" s="117"/>
      <c r="AA30" s="117">
        <f t="shared" ca="1" si="6"/>
        <v>0</v>
      </c>
      <c r="AB30" s="117">
        <f>LOOKUP(I30,'Pattern lookup'!$A$4:$A$21,'Pattern lookup'!$H$4:$H$21)*X30</f>
        <v>0</v>
      </c>
    </row>
    <row r="31" spans="1:28" ht="15" customHeight="1" x14ac:dyDescent="0.2">
      <c r="A31" s="91">
        <v>1</v>
      </c>
      <c r="B31" s="47" t="s">
        <v>254</v>
      </c>
      <c r="C31" s="47" t="s">
        <v>259</v>
      </c>
      <c r="D31" s="8" t="s">
        <v>106</v>
      </c>
      <c r="E31" s="8" t="s">
        <v>131</v>
      </c>
      <c r="F31" s="114" t="s">
        <v>108</v>
      </c>
      <c r="G31" s="8" t="s">
        <v>100</v>
      </c>
      <c r="H31" s="8" t="s">
        <v>87</v>
      </c>
      <c r="I31" s="14" t="s">
        <v>260</v>
      </c>
      <c r="J31" s="69">
        <f>LOOKUP(I31,'Pattern lookup'!$A$4:$A$21,'Pattern lookup'!$F$4:$F$21)</f>
        <v>15</v>
      </c>
      <c r="K31" s="54">
        <v>34</v>
      </c>
      <c r="L31" s="13">
        <f ca="1">LOOKUP(I31,'Pattern lookup'!$A$4:$A$29,'Pattern lookup'!$C$4:$C$17)</f>
        <v>163</v>
      </c>
      <c r="M31" s="9">
        <f ca="1">LOOKUP(I31,'Pattern lookup'!$A$4:$A$29,'Pattern lookup'!$D$4:$D$17)</f>
        <v>46.5</v>
      </c>
      <c r="N31" s="9">
        <f ca="1">LOOKUP(I31,'Pattern lookup'!$A$4:$A$29,'Pattern lookup'!$E$4:$E$17)</f>
        <v>0.7</v>
      </c>
      <c r="O31" s="42">
        <f t="shared" si="0"/>
        <v>3</v>
      </c>
      <c r="P31" s="52">
        <f t="shared" ca="1" si="2"/>
        <v>326.3</v>
      </c>
      <c r="Q31" s="56" t="s">
        <v>464</v>
      </c>
      <c r="R31">
        <f t="shared" ca="1" si="3"/>
        <v>186.8</v>
      </c>
      <c r="S31" s="54"/>
      <c r="T31" s="42">
        <f t="shared" ca="1" si="1"/>
        <v>186.8</v>
      </c>
      <c r="U31">
        <f t="shared" ca="1" si="4"/>
        <v>139.5</v>
      </c>
      <c r="V31" s="8"/>
      <c r="W31" s="90"/>
      <c r="X31" s="54">
        <v>3</v>
      </c>
      <c r="Y31">
        <f t="shared" ca="1" si="5"/>
        <v>0</v>
      </c>
      <c r="Z31" s="117"/>
      <c r="AA31" s="117">
        <f t="shared" ca="1" si="6"/>
        <v>139.5</v>
      </c>
      <c r="AB31" s="117">
        <f>LOOKUP(I31,'Pattern lookup'!$A$4:$A$21,'Pattern lookup'!$H$4:$H$21)*X31</f>
        <v>72</v>
      </c>
    </row>
    <row r="32" spans="1:28" ht="15" customHeight="1" x14ac:dyDescent="0.2">
      <c r="A32" s="91">
        <v>1</v>
      </c>
      <c r="B32" s="47" t="s">
        <v>254</v>
      </c>
      <c r="C32" s="47" t="s">
        <v>259</v>
      </c>
      <c r="D32" s="8" t="s">
        <v>106</v>
      </c>
      <c r="E32" s="8" t="s">
        <v>131</v>
      </c>
      <c r="F32" s="114" t="s">
        <v>108</v>
      </c>
      <c r="G32" s="8" t="s">
        <v>100</v>
      </c>
      <c r="H32" s="8" t="s">
        <v>88</v>
      </c>
      <c r="I32" s="14" t="s">
        <v>48</v>
      </c>
      <c r="J32" s="69">
        <f>LOOKUP(I32,'Pattern lookup'!$A$4:$A$21,'Pattern lookup'!$F$4:$F$21)</f>
        <v>15</v>
      </c>
      <c r="K32" s="54">
        <v>12</v>
      </c>
      <c r="L32" s="13">
        <f ca="1">LOOKUP(I32,'Pattern lookup'!$A$4:$A$29,'Pattern lookup'!$C$4:$C$17)</f>
        <v>2</v>
      </c>
      <c r="M32" s="9">
        <f ca="1">LOOKUP(I32,'Pattern lookup'!$A$4:$A$29,'Pattern lookup'!$D$4:$D$17)</f>
        <v>22.5</v>
      </c>
      <c r="N32" s="9">
        <f ca="1">LOOKUP(I32,'Pattern lookup'!$A$4:$A$29,'Pattern lookup'!$E$4:$E$17)</f>
        <v>0.6</v>
      </c>
      <c r="O32" s="42">
        <f t="shared" si="0"/>
        <v>1</v>
      </c>
      <c r="P32" s="52">
        <f t="shared" ca="1" si="2"/>
        <v>31.7</v>
      </c>
      <c r="Q32" s="56" t="s">
        <v>464</v>
      </c>
      <c r="R32">
        <f t="shared" ca="1" si="3"/>
        <v>9.1999999999999993</v>
      </c>
      <c r="S32" s="54"/>
      <c r="T32" s="42">
        <f t="shared" ca="1" si="1"/>
        <v>9.1999999999999993</v>
      </c>
      <c r="U32">
        <f t="shared" ca="1" si="4"/>
        <v>22.5</v>
      </c>
      <c r="V32" s="8"/>
      <c r="W32" s="90"/>
      <c r="X32" s="54">
        <v>1</v>
      </c>
      <c r="Y32">
        <f t="shared" ca="1" si="5"/>
        <v>0</v>
      </c>
      <c r="Z32" s="117"/>
      <c r="AA32" s="117">
        <f t="shared" ca="1" si="6"/>
        <v>22.5</v>
      </c>
      <c r="AB32" s="117">
        <f>LOOKUP(I32,'Pattern lookup'!$A$4:$A$21,'Pattern lookup'!$H$4:$H$21)*X32</f>
        <v>12</v>
      </c>
    </row>
    <row r="33" spans="1:28" ht="15" customHeight="1" x14ac:dyDescent="0.2">
      <c r="A33" s="91">
        <v>1</v>
      </c>
      <c r="B33" s="47" t="s">
        <v>254</v>
      </c>
      <c r="C33" s="47" t="s">
        <v>259</v>
      </c>
      <c r="D33" s="8" t="s">
        <v>106</v>
      </c>
      <c r="E33" s="8" t="s">
        <v>131</v>
      </c>
      <c r="F33" s="93" t="s">
        <v>99</v>
      </c>
      <c r="G33" s="8" t="s">
        <v>100</v>
      </c>
      <c r="H33" s="8" t="s">
        <v>87</v>
      </c>
      <c r="I33" s="14" t="s">
        <v>110</v>
      </c>
      <c r="J33" s="69">
        <f>LOOKUP(I33,'Pattern lookup'!$A$4:$A$21,'Pattern lookup'!$F$4:$F$21)</f>
        <v>15</v>
      </c>
      <c r="K33" s="54">
        <v>34</v>
      </c>
      <c r="L33" s="13">
        <f ca="1">LOOKUP(I33,'Pattern lookup'!$A$4:$A$29,'Pattern lookup'!$C$4:$C$17)</f>
        <v>56</v>
      </c>
      <c r="M33" s="9">
        <f ca="1">LOOKUP(I33,'Pattern lookup'!$A$4:$A$29,'Pattern lookup'!$D$4:$D$17)</f>
        <v>34.5</v>
      </c>
      <c r="N33" s="9">
        <f ca="1">LOOKUP(I33,'Pattern lookup'!$A$4:$A$29,'Pattern lookup'!$E$4:$E$17)</f>
        <v>0.7</v>
      </c>
      <c r="O33" s="42">
        <f t="shared" si="0"/>
        <v>3</v>
      </c>
      <c r="P33" s="52">
        <f t="shared" ca="1" si="2"/>
        <v>183.3</v>
      </c>
      <c r="Q33" s="56" t="s">
        <v>464</v>
      </c>
      <c r="R33">
        <f t="shared" ca="1" si="3"/>
        <v>79.8</v>
      </c>
      <c r="S33" s="54"/>
      <c r="T33" s="42">
        <f t="shared" ca="1" si="1"/>
        <v>79.8</v>
      </c>
      <c r="U33">
        <f t="shared" ca="1" si="4"/>
        <v>103.50000000000001</v>
      </c>
      <c r="V33" s="8"/>
      <c r="W33" s="90"/>
      <c r="X33" s="54">
        <v>3</v>
      </c>
      <c r="Y33">
        <f t="shared" ca="1" si="5"/>
        <v>0</v>
      </c>
      <c r="Z33" s="117"/>
      <c r="AA33" s="117">
        <f t="shared" ca="1" si="6"/>
        <v>103.5</v>
      </c>
      <c r="AB33" s="117">
        <f>LOOKUP(I33,'Pattern lookup'!$A$4:$A$21,'Pattern lookup'!$H$4:$H$21)*X33</f>
        <v>72</v>
      </c>
    </row>
    <row r="34" spans="1:28" ht="15" customHeight="1" x14ac:dyDescent="0.2">
      <c r="A34" s="91">
        <v>1</v>
      </c>
      <c r="B34" s="47" t="s">
        <v>254</v>
      </c>
      <c r="C34" s="47" t="s">
        <v>259</v>
      </c>
      <c r="D34" s="8" t="s">
        <v>106</v>
      </c>
      <c r="E34" s="8" t="s">
        <v>131</v>
      </c>
      <c r="F34" s="93" t="s">
        <v>99</v>
      </c>
      <c r="G34" s="8" t="s">
        <v>100</v>
      </c>
      <c r="H34" s="8" t="s">
        <v>88</v>
      </c>
      <c r="I34" s="14" t="s">
        <v>48</v>
      </c>
      <c r="J34" s="69">
        <f>LOOKUP(I34,'Pattern lookup'!$A$4:$A$21,'Pattern lookup'!$F$4:$F$21)</f>
        <v>15</v>
      </c>
      <c r="K34" s="54">
        <v>12</v>
      </c>
      <c r="L34" s="13">
        <f ca="1">LOOKUP(I34,'Pattern lookup'!$A$4:$A$29,'Pattern lookup'!$C$4:$C$17)</f>
        <v>2</v>
      </c>
      <c r="M34" s="9">
        <f ca="1">LOOKUP(I34,'Pattern lookup'!$A$4:$A$29,'Pattern lookup'!$D$4:$D$17)</f>
        <v>22.5</v>
      </c>
      <c r="N34" s="9">
        <f ca="1">LOOKUP(I34,'Pattern lookup'!$A$4:$A$29,'Pattern lookup'!$E$4:$E$17)</f>
        <v>0.6</v>
      </c>
      <c r="O34" s="42">
        <f t="shared" si="0"/>
        <v>1</v>
      </c>
      <c r="P34" s="52">
        <f t="shared" ca="1" si="2"/>
        <v>31.7</v>
      </c>
      <c r="Q34" s="56" t="s">
        <v>464</v>
      </c>
      <c r="R34">
        <f t="shared" ca="1" si="3"/>
        <v>9.1999999999999993</v>
      </c>
      <c r="S34" s="54"/>
      <c r="T34" s="42">
        <f t="shared" ca="1" si="1"/>
        <v>9.1999999999999993</v>
      </c>
      <c r="U34">
        <f t="shared" ca="1" si="4"/>
        <v>22.5</v>
      </c>
      <c r="V34" s="8"/>
      <c r="W34" s="90"/>
      <c r="X34" s="54">
        <v>1</v>
      </c>
      <c r="Y34">
        <f t="shared" ca="1" si="5"/>
        <v>0</v>
      </c>
      <c r="Z34" s="117"/>
      <c r="AA34" s="117">
        <f t="shared" ca="1" si="6"/>
        <v>22.5</v>
      </c>
      <c r="AB34" s="117">
        <f>LOOKUP(I34,'Pattern lookup'!$A$4:$A$21,'Pattern lookup'!$H$4:$H$21)*X34</f>
        <v>12</v>
      </c>
    </row>
    <row r="35" spans="1:28" ht="15" hidden="1" customHeight="1" x14ac:dyDescent="0.2">
      <c r="A35" s="91">
        <v>0</v>
      </c>
      <c r="B35" s="47" t="s">
        <v>255</v>
      </c>
      <c r="C35" s="47" t="s">
        <v>259</v>
      </c>
      <c r="D35" s="8" t="s">
        <v>106</v>
      </c>
      <c r="E35" s="8" t="s">
        <v>131</v>
      </c>
      <c r="F35" s="99" t="s">
        <v>424</v>
      </c>
      <c r="G35" s="8" t="s">
        <v>101</v>
      </c>
      <c r="H35" s="8" t="s">
        <v>87</v>
      </c>
      <c r="I35" s="14" t="s">
        <v>426</v>
      </c>
      <c r="J35" s="69">
        <f>LOOKUP(I35,'Pattern lookup'!$A$4:$A$21,'Pattern lookup'!$F$4:$F$21)</f>
        <v>0</v>
      </c>
      <c r="K35" s="54">
        <v>20</v>
      </c>
      <c r="L35" s="13">
        <f ca="1">LOOKUP(I35,'Pattern lookup'!$A$4:$A$29,'Pattern lookup'!$C$4:$C$17)</f>
        <v>37</v>
      </c>
      <c r="M35" s="9">
        <f ca="1">LOOKUP(I35,'Pattern lookup'!$A$4:$A$29,'Pattern lookup'!$D$4:$D$17)</f>
        <v>0</v>
      </c>
      <c r="N35" s="9">
        <f ca="1">LOOKUP(I35,'Pattern lookup'!$A$4:$A$29,'Pattern lookup'!$E$4:$E$17)</f>
        <v>0.35</v>
      </c>
      <c r="O35" s="42">
        <f t="shared" si="0"/>
        <v>0</v>
      </c>
      <c r="P35" s="52">
        <f t="shared" si="2"/>
        <v>0</v>
      </c>
      <c r="Q35" s="56" t="s">
        <v>301</v>
      </c>
      <c r="R35">
        <f t="shared" si="3"/>
        <v>0</v>
      </c>
      <c r="S35" s="54"/>
      <c r="T35" s="42">
        <f t="shared" ca="1" si="1"/>
        <v>0</v>
      </c>
      <c r="U35">
        <f t="shared" ca="1" si="4"/>
        <v>0</v>
      </c>
      <c r="V35" s="92"/>
      <c r="W35" s="90"/>
      <c r="X35" s="54"/>
      <c r="Y35">
        <f t="shared" ca="1" si="5"/>
        <v>0</v>
      </c>
      <c r="Z35" s="117"/>
      <c r="AA35" s="117">
        <f t="shared" ca="1" si="6"/>
        <v>0</v>
      </c>
      <c r="AB35" s="117">
        <f>LOOKUP(I35,'Pattern lookup'!$A$4:$A$21,'Pattern lookup'!$H$4:$H$21)*X35</f>
        <v>0</v>
      </c>
    </row>
    <row r="36" spans="1:28" ht="15" customHeight="1" x14ac:dyDescent="0.2">
      <c r="A36" s="91">
        <v>1</v>
      </c>
      <c r="B36" s="47" t="s">
        <v>255</v>
      </c>
      <c r="C36" s="47" t="s">
        <v>259</v>
      </c>
      <c r="D36" s="8" t="s">
        <v>106</v>
      </c>
      <c r="E36" s="8" t="s">
        <v>131</v>
      </c>
      <c r="F36" s="100" t="s">
        <v>466</v>
      </c>
      <c r="G36" s="8" t="s">
        <v>101</v>
      </c>
      <c r="H36" s="8" t="s">
        <v>87</v>
      </c>
      <c r="I36" s="14" t="s">
        <v>426</v>
      </c>
      <c r="J36" s="69">
        <f>LOOKUP(I36,'Pattern lookup'!$A$4:$A$21,'Pattern lookup'!$F$4:$F$21)</f>
        <v>0</v>
      </c>
      <c r="K36" s="54">
        <v>20</v>
      </c>
      <c r="L36" s="13">
        <f ca="1">LOOKUP(I36,'Pattern lookup'!$A$4:$A$29,'Pattern lookup'!$C$4:$C$17)</f>
        <v>37</v>
      </c>
      <c r="M36" s="9">
        <f ca="1">LOOKUP(I36,'Pattern lookup'!$A$4:$A$29,'Pattern lookup'!$D$4:$D$17)</f>
        <v>0</v>
      </c>
      <c r="N36" s="9">
        <f ca="1">LOOKUP(I36,'Pattern lookup'!$A$4:$A$29,'Pattern lookup'!$E$4:$E$17)</f>
        <v>0.35</v>
      </c>
      <c r="O36" s="42">
        <f t="shared" si="0"/>
        <v>0</v>
      </c>
      <c r="P36" s="52">
        <f t="shared" ca="1" si="2"/>
        <v>44</v>
      </c>
      <c r="Q36" s="56" t="s">
        <v>464</v>
      </c>
      <c r="R36">
        <f t="shared" ca="1" si="3"/>
        <v>44</v>
      </c>
      <c r="S36" s="54"/>
      <c r="T36" s="42">
        <f t="shared" ca="1" si="1"/>
        <v>44</v>
      </c>
      <c r="U36">
        <f t="shared" ca="1" si="4"/>
        <v>0</v>
      </c>
      <c r="V36" s="8"/>
      <c r="W36" s="90"/>
      <c r="X36" s="54"/>
      <c r="Y36">
        <f t="shared" ca="1" si="5"/>
        <v>0</v>
      </c>
      <c r="Z36" s="117"/>
      <c r="AA36" s="117">
        <f t="shared" ca="1" si="6"/>
        <v>0</v>
      </c>
      <c r="AB36" s="117">
        <f>LOOKUP(I36,'Pattern lookup'!$A$4:$A$21,'Pattern lookup'!$H$4:$H$21)*X36</f>
        <v>0</v>
      </c>
    </row>
    <row r="37" spans="1:28" ht="15" customHeight="1" x14ac:dyDescent="0.2">
      <c r="A37" s="91">
        <v>1</v>
      </c>
      <c r="B37" s="47" t="s">
        <v>254</v>
      </c>
      <c r="C37" s="47" t="s">
        <v>259</v>
      </c>
      <c r="D37" s="8" t="s">
        <v>132</v>
      </c>
      <c r="E37" s="8" t="s">
        <v>133</v>
      </c>
      <c r="F37" s="93" t="s">
        <v>99</v>
      </c>
      <c r="G37" s="8" t="s">
        <v>100</v>
      </c>
      <c r="H37" s="8" t="s">
        <v>87</v>
      </c>
      <c r="I37" s="14" t="s">
        <v>260</v>
      </c>
      <c r="J37" s="69">
        <f>LOOKUP(I37,'Pattern lookup'!$A$4:$A$21,'Pattern lookup'!$F$4:$F$21)</f>
        <v>15</v>
      </c>
      <c r="K37" s="54">
        <v>37</v>
      </c>
      <c r="L37" s="13">
        <f ca="1">LOOKUP(I37,'Pattern lookup'!$A$4:$A$29,'Pattern lookup'!$C$4:$C$17)</f>
        <v>163</v>
      </c>
      <c r="M37" s="9">
        <f ca="1">LOOKUP(I37,'Pattern lookup'!$A$4:$A$29,'Pattern lookup'!$D$4:$D$17)</f>
        <v>46.5</v>
      </c>
      <c r="N37" s="9">
        <f ca="1">LOOKUP(I37,'Pattern lookup'!$A$4:$A$29,'Pattern lookup'!$E$4:$E$17)</f>
        <v>0.7</v>
      </c>
      <c r="O37" s="42">
        <f t="shared" si="0"/>
        <v>3</v>
      </c>
      <c r="P37" s="52">
        <f t="shared" ca="1" si="2"/>
        <v>328.4</v>
      </c>
      <c r="Q37" s="56" t="s">
        <v>454</v>
      </c>
      <c r="R37">
        <f t="shared" ca="1" si="3"/>
        <v>188.9</v>
      </c>
      <c r="S37" s="54">
        <v>3</v>
      </c>
      <c r="T37" s="42">
        <f t="shared" ca="1" si="1"/>
        <v>328.4</v>
      </c>
      <c r="U37">
        <f t="shared" ca="1" si="4"/>
        <v>0</v>
      </c>
      <c r="V37" s="8"/>
      <c r="W37" s="90"/>
      <c r="X37" s="54"/>
      <c r="Y37">
        <f t="shared" ca="1" si="5"/>
        <v>0</v>
      </c>
      <c r="Z37" s="117"/>
      <c r="AA37" s="117">
        <f t="shared" ca="1" si="6"/>
        <v>0</v>
      </c>
      <c r="AB37" s="117">
        <f>LOOKUP(I37,'Pattern lookup'!$A$4:$A$21,'Pattern lookup'!$H$4:$H$21)*X37</f>
        <v>0</v>
      </c>
    </row>
    <row r="38" spans="1:28" ht="15" customHeight="1" x14ac:dyDescent="0.2">
      <c r="A38" s="91">
        <v>1</v>
      </c>
      <c r="B38" s="47" t="s">
        <v>254</v>
      </c>
      <c r="C38" s="47" t="s">
        <v>259</v>
      </c>
      <c r="D38" s="8" t="s">
        <v>136</v>
      </c>
      <c r="E38" s="8" t="s">
        <v>137</v>
      </c>
      <c r="F38" s="93" t="s">
        <v>99</v>
      </c>
      <c r="G38" s="8" t="s">
        <v>100</v>
      </c>
      <c r="H38" s="8" t="s">
        <v>87</v>
      </c>
      <c r="I38" s="14" t="s">
        <v>47</v>
      </c>
      <c r="J38" s="69">
        <f>LOOKUP(I38,'Pattern lookup'!$A$4:$A$21,'Pattern lookup'!$F$4:$F$21)</f>
        <v>15</v>
      </c>
      <c r="K38" s="54">
        <v>15</v>
      </c>
      <c r="L38" s="13">
        <f ca="1">LOOKUP(I38,'Pattern lookup'!$A$4:$A$29,'Pattern lookup'!$C$4:$C$17)</f>
        <v>164</v>
      </c>
      <c r="M38" s="9">
        <f ca="1">LOOKUP(I38,'Pattern lookup'!$A$4:$A$29,'Pattern lookup'!$D$4:$D$17)</f>
        <v>34.5</v>
      </c>
      <c r="N38" s="9">
        <f ca="1">LOOKUP(I38,'Pattern lookup'!$A$4:$A$29,'Pattern lookup'!$E$4:$E$17)</f>
        <v>0.7</v>
      </c>
      <c r="O38" s="42">
        <f t="shared" si="0"/>
        <v>1</v>
      </c>
      <c r="P38" s="52">
        <f t="shared" ca="1" si="2"/>
        <v>209</v>
      </c>
      <c r="Q38" s="56" t="s">
        <v>460</v>
      </c>
      <c r="R38">
        <f t="shared" ca="1" si="3"/>
        <v>174.5</v>
      </c>
      <c r="S38" s="54">
        <v>1</v>
      </c>
      <c r="T38" s="41">
        <f t="shared" ca="1" si="1"/>
        <v>209</v>
      </c>
      <c r="U38">
        <f t="shared" ca="1" si="4"/>
        <v>0</v>
      </c>
      <c r="V38" s="8"/>
      <c r="W38" s="90"/>
      <c r="X38" s="54"/>
      <c r="Y38">
        <f t="shared" ca="1" si="5"/>
        <v>0</v>
      </c>
      <c r="Z38" s="117"/>
      <c r="AA38" s="117">
        <f t="shared" ca="1" si="6"/>
        <v>0</v>
      </c>
      <c r="AB38" s="117">
        <f>LOOKUP(I38,'Pattern lookup'!$A$4:$A$21,'Pattern lookup'!$H$4:$H$21)*X38</f>
        <v>0</v>
      </c>
    </row>
    <row r="39" spans="1:28" ht="15" customHeight="1" x14ac:dyDescent="0.2">
      <c r="A39" s="91">
        <v>1</v>
      </c>
      <c r="B39" s="47" t="s">
        <v>254</v>
      </c>
      <c r="C39" s="47" t="s">
        <v>259</v>
      </c>
      <c r="D39" s="8" t="s">
        <v>136</v>
      </c>
      <c r="E39" s="8" t="s">
        <v>137</v>
      </c>
      <c r="F39" s="93" t="s">
        <v>99</v>
      </c>
      <c r="G39" s="8" t="s">
        <v>100</v>
      </c>
      <c r="H39" s="8" t="s">
        <v>88</v>
      </c>
      <c r="I39" s="14" t="s">
        <v>48</v>
      </c>
      <c r="J39" s="69">
        <f>LOOKUP(I39,'Pattern lookup'!$A$4:$A$21,'Pattern lookup'!$F$4:$F$21)</f>
        <v>15</v>
      </c>
      <c r="K39" s="54">
        <v>5</v>
      </c>
      <c r="L39" s="13">
        <f ca="1">LOOKUP(I39,'Pattern lookup'!$A$4:$A$29,'Pattern lookup'!$C$4:$C$17)</f>
        <v>2</v>
      </c>
      <c r="M39" s="9">
        <f ca="1">LOOKUP(I39,'Pattern lookup'!$A$4:$A$29,'Pattern lookup'!$D$4:$D$17)</f>
        <v>22.5</v>
      </c>
      <c r="N39" s="9">
        <f ca="1">LOOKUP(I39,'Pattern lookup'!$A$4:$A$29,'Pattern lookup'!$E$4:$E$17)</f>
        <v>0.6</v>
      </c>
      <c r="O39" s="42">
        <f t="shared" si="0"/>
        <v>1</v>
      </c>
      <c r="P39" s="52">
        <f t="shared" ca="1" si="2"/>
        <v>27.5</v>
      </c>
      <c r="Q39" s="56" t="s">
        <v>460</v>
      </c>
      <c r="R39">
        <f t="shared" ca="1" si="3"/>
        <v>5</v>
      </c>
      <c r="S39" s="54">
        <v>1</v>
      </c>
      <c r="T39" s="42">
        <f t="shared" ca="1" si="1"/>
        <v>27.5</v>
      </c>
      <c r="U39">
        <f t="shared" ca="1" si="4"/>
        <v>0</v>
      </c>
      <c r="V39" s="8"/>
      <c r="W39" s="90"/>
      <c r="X39" s="54"/>
      <c r="Y39">
        <f t="shared" ca="1" si="5"/>
        <v>0</v>
      </c>
      <c r="Z39" s="117"/>
      <c r="AA39" s="117">
        <f t="shared" ca="1" si="6"/>
        <v>0</v>
      </c>
      <c r="AB39" s="117">
        <f>LOOKUP(I39,'Pattern lookup'!$A$4:$A$21,'Pattern lookup'!$H$4:$H$21)*X39</f>
        <v>0</v>
      </c>
    </row>
    <row r="40" spans="1:28" ht="15" customHeight="1" x14ac:dyDescent="0.2">
      <c r="A40" s="91">
        <v>1</v>
      </c>
      <c r="B40" s="47" t="s">
        <v>254</v>
      </c>
      <c r="C40" s="47" t="s">
        <v>259</v>
      </c>
      <c r="D40" s="8" t="s">
        <v>139</v>
      </c>
      <c r="E40" s="8" t="s">
        <v>140</v>
      </c>
      <c r="F40" s="114" t="s">
        <v>108</v>
      </c>
      <c r="G40" s="8" t="s">
        <v>100</v>
      </c>
      <c r="H40" s="8" t="s">
        <v>87</v>
      </c>
      <c r="I40" s="14" t="s">
        <v>47</v>
      </c>
      <c r="J40" s="69">
        <f>LOOKUP(I40,'Pattern lookup'!$A$4:$A$21,'Pattern lookup'!$F$4:$F$21)</f>
        <v>15</v>
      </c>
      <c r="K40" s="54">
        <v>32</v>
      </c>
      <c r="L40" s="13">
        <f ca="1">LOOKUP(I40,'Pattern lookup'!$A$4:$A$29,'Pattern lookup'!$C$4:$C$17)</f>
        <v>164</v>
      </c>
      <c r="M40" s="9">
        <f ca="1">LOOKUP(I40,'Pattern lookup'!$A$4:$A$29,'Pattern lookup'!$D$4:$D$17)</f>
        <v>34.5</v>
      </c>
      <c r="N40" s="9">
        <f ca="1">LOOKUP(I40,'Pattern lookup'!$A$4:$A$29,'Pattern lookup'!$E$4:$E$17)</f>
        <v>0.7</v>
      </c>
      <c r="O40" s="42">
        <f t="shared" si="0"/>
        <v>3</v>
      </c>
      <c r="P40" s="52">
        <f t="shared" ca="1" si="2"/>
        <v>289.89999999999998</v>
      </c>
      <c r="Q40" s="56" t="s">
        <v>463</v>
      </c>
      <c r="R40">
        <f t="shared" ca="1" si="3"/>
        <v>186.4</v>
      </c>
      <c r="S40" s="54"/>
      <c r="T40" s="42">
        <f t="shared" ca="1" si="1"/>
        <v>186.4</v>
      </c>
      <c r="U40">
        <f t="shared" ca="1" si="4"/>
        <v>103.49999999999997</v>
      </c>
      <c r="V40" s="8"/>
      <c r="W40" s="90"/>
      <c r="X40" s="54">
        <v>3</v>
      </c>
      <c r="Y40">
        <f t="shared" ca="1" si="5"/>
        <v>0</v>
      </c>
      <c r="Z40" s="117"/>
      <c r="AA40" s="117">
        <f t="shared" ca="1" si="6"/>
        <v>103.5</v>
      </c>
      <c r="AB40" s="117">
        <f>LOOKUP(I40,'Pattern lookup'!$A$4:$A$21,'Pattern lookup'!$H$4:$H$21)*X40</f>
        <v>36</v>
      </c>
    </row>
    <row r="41" spans="1:28" ht="15" customHeight="1" x14ac:dyDescent="0.2">
      <c r="A41" s="91">
        <v>1</v>
      </c>
      <c r="B41" s="47" t="s">
        <v>254</v>
      </c>
      <c r="C41" s="47" t="s">
        <v>259</v>
      </c>
      <c r="D41" s="8" t="s">
        <v>139</v>
      </c>
      <c r="E41" s="8" t="s">
        <v>140</v>
      </c>
      <c r="F41" s="114" t="s">
        <v>108</v>
      </c>
      <c r="G41" s="8" t="s">
        <v>100</v>
      </c>
      <c r="H41" s="8" t="s">
        <v>88</v>
      </c>
      <c r="I41" s="14" t="s">
        <v>48</v>
      </c>
      <c r="J41" s="69">
        <f>LOOKUP(I41,'Pattern lookup'!$A$4:$A$21,'Pattern lookup'!$F$4:$F$21)</f>
        <v>15</v>
      </c>
      <c r="K41" s="54">
        <v>4</v>
      </c>
      <c r="L41" s="13">
        <f ca="1">LOOKUP(I41,'Pattern lookup'!$A$4:$A$29,'Pattern lookup'!$C$4:$C$17)</f>
        <v>2</v>
      </c>
      <c r="M41" s="9">
        <f ca="1">LOOKUP(I41,'Pattern lookup'!$A$4:$A$29,'Pattern lookup'!$D$4:$D$17)</f>
        <v>22.5</v>
      </c>
      <c r="N41" s="9">
        <f ca="1">LOOKUP(I41,'Pattern lookup'!$A$4:$A$29,'Pattern lookup'!$E$4:$E$17)</f>
        <v>0.6</v>
      </c>
      <c r="O41" s="42">
        <f t="shared" si="0"/>
        <v>1</v>
      </c>
      <c r="P41" s="52">
        <f t="shared" ca="1" si="2"/>
        <v>26.9</v>
      </c>
      <c r="Q41" s="56" t="s">
        <v>463</v>
      </c>
      <c r="R41">
        <f t="shared" ca="1" si="3"/>
        <v>4.4000000000000004</v>
      </c>
      <c r="S41" s="54"/>
      <c r="T41" s="42">
        <f t="shared" ca="1" si="1"/>
        <v>4.4000000000000004</v>
      </c>
      <c r="U41">
        <f t="shared" ca="1" si="4"/>
        <v>22.5</v>
      </c>
      <c r="V41" s="8"/>
      <c r="W41" s="90"/>
      <c r="X41" s="54">
        <v>1</v>
      </c>
      <c r="Y41">
        <f t="shared" ca="1" si="5"/>
        <v>0</v>
      </c>
      <c r="Z41" s="117"/>
      <c r="AA41" s="117">
        <f t="shared" ca="1" si="6"/>
        <v>22.5</v>
      </c>
      <c r="AB41" s="117">
        <f>LOOKUP(I41,'Pattern lookup'!$A$4:$A$21,'Pattern lookup'!$H$4:$H$21)*X41</f>
        <v>12</v>
      </c>
    </row>
    <row r="42" spans="1:28" ht="15" hidden="1" customHeight="1" x14ac:dyDescent="0.2">
      <c r="A42" s="91">
        <v>0</v>
      </c>
      <c r="B42" s="47" t="s">
        <v>255</v>
      </c>
      <c r="C42" s="47" t="s">
        <v>259</v>
      </c>
      <c r="D42" s="8" t="s">
        <v>139</v>
      </c>
      <c r="E42" s="8" t="s">
        <v>140</v>
      </c>
      <c r="F42" s="99" t="s">
        <v>424</v>
      </c>
      <c r="G42" s="8" t="s">
        <v>101</v>
      </c>
      <c r="H42" s="8" t="s">
        <v>87</v>
      </c>
      <c r="I42" s="14" t="s">
        <v>426</v>
      </c>
      <c r="J42" s="69">
        <f>LOOKUP(I42,'Pattern lookup'!$A$4:$A$21,'Pattern lookup'!$F$4:$F$21)</f>
        <v>0</v>
      </c>
      <c r="K42" s="54">
        <v>20</v>
      </c>
      <c r="L42" s="13">
        <f ca="1">LOOKUP(I42,'Pattern lookup'!$A$4:$A$29,'Pattern lookup'!$C$4:$C$17)</f>
        <v>37</v>
      </c>
      <c r="M42" s="9">
        <f ca="1">LOOKUP(I42,'Pattern lookup'!$A$4:$A$29,'Pattern lookup'!$D$4:$D$17)</f>
        <v>0</v>
      </c>
      <c r="N42" s="9">
        <f ca="1">LOOKUP(I42,'Pattern lookup'!$A$4:$A$29,'Pattern lookup'!$E$4:$E$17)</f>
        <v>0.35</v>
      </c>
      <c r="O42" s="42">
        <f t="shared" si="0"/>
        <v>0</v>
      </c>
      <c r="P42" s="52">
        <f t="shared" si="2"/>
        <v>0</v>
      </c>
      <c r="Q42" s="56" t="s">
        <v>301</v>
      </c>
      <c r="R42">
        <f t="shared" si="3"/>
        <v>0</v>
      </c>
      <c r="S42" s="54"/>
      <c r="T42" s="42">
        <f t="shared" ca="1" si="1"/>
        <v>0</v>
      </c>
      <c r="U42">
        <f t="shared" ca="1" si="4"/>
        <v>0</v>
      </c>
      <c r="V42" s="8"/>
      <c r="W42" s="90"/>
      <c r="X42" s="54"/>
      <c r="Y42">
        <f t="shared" ca="1" si="5"/>
        <v>0</v>
      </c>
      <c r="Z42" s="117"/>
      <c r="AA42" s="117">
        <f t="shared" ca="1" si="6"/>
        <v>0</v>
      </c>
      <c r="AB42" s="117">
        <f>LOOKUP(I42,'Pattern lookup'!$A$4:$A$21,'Pattern lookup'!$H$4:$H$21)*X42</f>
        <v>0</v>
      </c>
    </row>
    <row r="43" spans="1:28" ht="15" hidden="1" customHeight="1" x14ac:dyDescent="0.2">
      <c r="A43" s="91">
        <v>0</v>
      </c>
      <c r="B43" s="47" t="s">
        <v>255</v>
      </c>
      <c r="C43" s="47" t="s">
        <v>259</v>
      </c>
      <c r="D43" s="8" t="s">
        <v>139</v>
      </c>
      <c r="E43" s="8" t="s">
        <v>140</v>
      </c>
      <c r="F43" s="42" t="s">
        <v>141</v>
      </c>
      <c r="G43" s="8" t="s">
        <v>142</v>
      </c>
      <c r="H43" s="8" t="s">
        <v>87</v>
      </c>
      <c r="I43" s="14" t="s">
        <v>58</v>
      </c>
      <c r="J43" s="69">
        <f>LOOKUP(I43,'Pattern lookup'!$A$4:$A$21,'Pattern lookup'!$F$4:$F$21)</f>
        <v>0</v>
      </c>
      <c r="K43" s="54">
        <v>40</v>
      </c>
      <c r="L43" s="13">
        <f ca="1">LOOKUP(I43,'Pattern lookup'!$A$4:$A$29,'Pattern lookup'!$C$4:$C$17)</f>
        <v>35</v>
      </c>
      <c r="M43" s="9">
        <f ca="1">LOOKUP(I43,'Pattern lookup'!$A$4:$A$29,'Pattern lookup'!$D$4:$D$17)</f>
        <v>0</v>
      </c>
      <c r="N43" s="9">
        <f ca="1">LOOKUP(I43,'Pattern lookup'!$A$4:$A$29,'Pattern lookup'!$E$4:$E$17)</f>
        <v>0.6</v>
      </c>
      <c r="O43" s="42">
        <f t="shared" si="0"/>
        <v>0</v>
      </c>
      <c r="P43" s="52">
        <f t="shared" si="2"/>
        <v>0</v>
      </c>
      <c r="Q43" s="56" t="s">
        <v>301</v>
      </c>
      <c r="R43">
        <f t="shared" si="3"/>
        <v>0</v>
      </c>
      <c r="S43" s="54"/>
      <c r="T43" s="42">
        <f t="shared" ca="1" si="1"/>
        <v>0</v>
      </c>
      <c r="U43">
        <f t="shared" ca="1" si="4"/>
        <v>0</v>
      </c>
      <c r="V43" s="92"/>
      <c r="W43" s="90"/>
      <c r="X43" s="54"/>
      <c r="Y43">
        <f t="shared" ca="1" si="5"/>
        <v>0</v>
      </c>
      <c r="Z43" s="117"/>
      <c r="AA43" s="117">
        <f t="shared" ca="1" si="6"/>
        <v>0</v>
      </c>
      <c r="AB43" s="117">
        <f>LOOKUP(I43,'Pattern lookup'!$A$4:$A$21,'Pattern lookup'!$H$4:$H$21)*X43</f>
        <v>0</v>
      </c>
    </row>
    <row r="44" spans="1:28" ht="15" hidden="1" customHeight="1" x14ac:dyDescent="0.2">
      <c r="A44" s="91">
        <v>0</v>
      </c>
      <c r="B44" s="47" t="s">
        <v>255</v>
      </c>
      <c r="C44" s="47" t="s">
        <v>259</v>
      </c>
      <c r="D44" s="8" t="s">
        <v>139</v>
      </c>
      <c r="E44" s="8" t="s">
        <v>140</v>
      </c>
      <c r="F44" s="94" t="s">
        <v>143</v>
      </c>
      <c r="G44" s="8" t="s">
        <v>142</v>
      </c>
      <c r="H44" s="8" t="s">
        <v>87</v>
      </c>
      <c r="I44" s="14" t="s">
        <v>58</v>
      </c>
      <c r="J44" s="69">
        <f>LOOKUP(I44,'Pattern lookup'!$A$4:$A$21,'Pattern lookup'!$F$4:$F$21)</f>
        <v>0</v>
      </c>
      <c r="K44" s="54">
        <v>40</v>
      </c>
      <c r="L44" s="13">
        <f ca="1">LOOKUP(I44,'Pattern lookup'!$A$4:$A$29,'Pattern lookup'!$C$4:$C$17)</f>
        <v>35</v>
      </c>
      <c r="M44" s="9">
        <f ca="1">LOOKUP(I44,'Pattern lookup'!$A$4:$A$29,'Pattern lookup'!$D$4:$D$17)</f>
        <v>0</v>
      </c>
      <c r="N44" s="9">
        <f ca="1">LOOKUP(I44,'Pattern lookup'!$A$4:$A$29,'Pattern lookup'!$E$4:$E$17)</f>
        <v>0.6</v>
      </c>
      <c r="O44" s="42">
        <f t="shared" si="0"/>
        <v>0</v>
      </c>
      <c r="P44" s="52">
        <f t="shared" si="2"/>
        <v>0</v>
      </c>
      <c r="Q44" s="55" t="s">
        <v>301</v>
      </c>
      <c r="R44">
        <f t="shared" si="3"/>
        <v>0</v>
      </c>
      <c r="S44" s="54"/>
      <c r="T44" s="42">
        <f t="shared" ca="1" si="1"/>
        <v>0</v>
      </c>
      <c r="U44">
        <f t="shared" ca="1" si="4"/>
        <v>0</v>
      </c>
      <c r="V44" s="8"/>
      <c r="W44" s="90"/>
      <c r="X44" s="54"/>
      <c r="Y44">
        <f t="shared" ca="1" si="5"/>
        <v>0</v>
      </c>
      <c r="Z44" s="117"/>
      <c r="AA44" s="117">
        <f t="shared" ca="1" si="6"/>
        <v>0</v>
      </c>
      <c r="AB44" s="117">
        <f>LOOKUP(I44,'Pattern lookup'!$A$4:$A$21,'Pattern lookup'!$H$4:$H$21)*X44</f>
        <v>0</v>
      </c>
    </row>
    <row r="45" spans="1:28" ht="15" customHeight="1" x14ac:dyDescent="0.2">
      <c r="A45" s="91">
        <v>1</v>
      </c>
      <c r="B45" s="47" t="s">
        <v>255</v>
      </c>
      <c r="C45" s="47" t="s">
        <v>259</v>
      </c>
      <c r="D45" s="8" t="s">
        <v>139</v>
      </c>
      <c r="E45" s="8" t="s">
        <v>140</v>
      </c>
      <c r="F45" s="95" t="s">
        <v>470</v>
      </c>
      <c r="G45" s="8" t="s">
        <v>142</v>
      </c>
      <c r="H45" s="8" t="s">
        <v>87</v>
      </c>
      <c r="I45" s="14" t="s">
        <v>58</v>
      </c>
      <c r="J45" s="69">
        <f>LOOKUP(I45,'Pattern lookup'!$A$4:$A$21,'Pattern lookup'!$F$4:$F$21)</f>
        <v>0</v>
      </c>
      <c r="K45" s="54">
        <v>40</v>
      </c>
      <c r="L45" s="13">
        <f ca="1">LOOKUP(I45,'Pattern lookup'!$A$4:$A$29,'Pattern lookup'!$C$4:$C$17)</f>
        <v>35</v>
      </c>
      <c r="M45" s="9">
        <f ca="1">LOOKUP(I45,'Pattern lookup'!$A$4:$A$29,'Pattern lookup'!$D$4:$D$17)</f>
        <v>0</v>
      </c>
      <c r="N45" s="9">
        <f ca="1">LOOKUP(I45,'Pattern lookup'!$A$4:$A$29,'Pattern lookup'!$E$4:$E$17)</f>
        <v>0.6</v>
      </c>
      <c r="O45" s="42">
        <f t="shared" si="0"/>
        <v>0</v>
      </c>
      <c r="P45" s="52">
        <f t="shared" ca="1" si="2"/>
        <v>59</v>
      </c>
      <c r="Q45" s="56" t="s">
        <v>463</v>
      </c>
      <c r="R45">
        <f t="shared" ca="1" si="3"/>
        <v>59</v>
      </c>
      <c r="S45" s="54"/>
      <c r="T45" s="42">
        <f t="shared" ca="1" si="1"/>
        <v>59</v>
      </c>
      <c r="U45">
        <f t="shared" ca="1" si="4"/>
        <v>0</v>
      </c>
      <c r="V45" s="8"/>
      <c r="W45" s="90"/>
      <c r="X45" s="54"/>
      <c r="Y45">
        <f t="shared" ca="1" si="5"/>
        <v>0</v>
      </c>
      <c r="Z45" s="117"/>
      <c r="AA45" s="117">
        <f t="shared" ca="1" si="6"/>
        <v>0</v>
      </c>
      <c r="AB45" s="117">
        <f>LOOKUP(I45,'Pattern lookup'!$A$4:$A$21,'Pattern lookup'!$H$4:$H$21)*X45</f>
        <v>0</v>
      </c>
    </row>
    <row r="46" spans="1:28" ht="15" customHeight="1" x14ac:dyDescent="0.2">
      <c r="A46" s="91">
        <v>1</v>
      </c>
      <c r="B46" s="47" t="s">
        <v>254</v>
      </c>
      <c r="C46" s="47" t="s">
        <v>259</v>
      </c>
      <c r="D46" s="8" t="s">
        <v>147</v>
      </c>
      <c r="E46" s="8" t="s">
        <v>148</v>
      </c>
      <c r="F46" s="114" t="s">
        <v>108</v>
      </c>
      <c r="G46" s="8" t="s">
        <v>100</v>
      </c>
      <c r="H46" s="8" t="s">
        <v>87</v>
      </c>
      <c r="I46" s="14" t="s">
        <v>47</v>
      </c>
      <c r="J46" s="69">
        <f>LOOKUP(I46,'Pattern lookup'!$A$4:$A$21,'Pattern lookup'!$F$4:$F$21)</f>
        <v>15</v>
      </c>
      <c r="K46" s="54">
        <v>60</v>
      </c>
      <c r="L46" s="13">
        <f ca="1">LOOKUP(I46,'Pattern lookup'!$A$4:$A$29,'Pattern lookup'!$C$4:$C$17)</f>
        <v>164</v>
      </c>
      <c r="M46" s="9">
        <f ca="1">LOOKUP(I46,'Pattern lookup'!$A$4:$A$29,'Pattern lookup'!$D$4:$D$17)</f>
        <v>34.5</v>
      </c>
      <c r="N46" s="9">
        <f ca="1">LOOKUP(I46,'Pattern lookup'!$A$4:$A$29,'Pattern lookup'!$E$4:$E$17)</f>
        <v>0.7</v>
      </c>
      <c r="O46" s="42">
        <f t="shared" si="0"/>
        <v>4</v>
      </c>
      <c r="P46" s="52">
        <f t="shared" ca="1" si="2"/>
        <v>344</v>
      </c>
      <c r="Q46" s="56" t="s">
        <v>460</v>
      </c>
      <c r="R46">
        <f t="shared" ca="1" si="3"/>
        <v>206</v>
      </c>
      <c r="S46" s="54">
        <v>1</v>
      </c>
      <c r="T46" s="42">
        <f t="shared" ca="1" si="1"/>
        <v>240.5</v>
      </c>
      <c r="U46">
        <f t="shared" ca="1" si="4"/>
        <v>103.5</v>
      </c>
      <c r="V46" s="8"/>
      <c r="W46" s="90"/>
      <c r="X46" s="54">
        <v>3</v>
      </c>
      <c r="Y46">
        <f t="shared" ca="1" si="5"/>
        <v>0</v>
      </c>
      <c r="Z46" s="117"/>
      <c r="AA46" s="117">
        <f t="shared" ca="1" si="6"/>
        <v>103.5</v>
      </c>
      <c r="AB46" s="117">
        <f>LOOKUP(I46,'Pattern lookup'!$A$4:$A$21,'Pattern lookup'!$H$4:$H$21)*X46</f>
        <v>36</v>
      </c>
    </row>
    <row r="47" spans="1:28" ht="15" customHeight="1" x14ac:dyDescent="0.2">
      <c r="A47" s="91">
        <v>1</v>
      </c>
      <c r="B47" s="47" t="s">
        <v>254</v>
      </c>
      <c r="C47" s="47" t="s">
        <v>259</v>
      </c>
      <c r="D47" s="8" t="s">
        <v>147</v>
      </c>
      <c r="E47" s="8" t="s">
        <v>148</v>
      </c>
      <c r="F47" s="114" t="s">
        <v>108</v>
      </c>
      <c r="G47" s="8" t="s">
        <v>100</v>
      </c>
      <c r="H47" s="8" t="s">
        <v>88</v>
      </c>
      <c r="I47" s="14" t="s">
        <v>48</v>
      </c>
      <c r="J47" s="69">
        <f>LOOKUP(I47,'Pattern lookup'!$A$4:$A$21,'Pattern lookup'!$F$4:$F$21)</f>
        <v>15</v>
      </c>
      <c r="K47" s="54">
        <v>12</v>
      </c>
      <c r="L47" s="13">
        <f ca="1">LOOKUP(I47,'Pattern lookup'!$A$4:$A$29,'Pattern lookup'!$C$4:$C$17)</f>
        <v>2</v>
      </c>
      <c r="M47" s="9">
        <f ca="1">LOOKUP(I47,'Pattern lookup'!$A$4:$A$29,'Pattern lookup'!$D$4:$D$17)</f>
        <v>22.5</v>
      </c>
      <c r="N47" s="9">
        <f ca="1">LOOKUP(I47,'Pattern lookup'!$A$4:$A$29,'Pattern lookup'!$E$4:$E$17)</f>
        <v>0.6</v>
      </c>
      <c r="O47" s="42">
        <f t="shared" si="0"/>
        <v>1</v>
      </c>
      <c r="P47" s="52">
        <f t="shared" ca="1" si="2"/>
        <v>31.7</v>
      </c>
      <c r="Q47" s="56" t="s">
        <v>460</v>
      </c>
      <c r="R47">
        <f t="shared" ca="1" si="3"/>
        <v>9.1999999999999993</v>
      </c>
      <c r="S47" s="54"/>
      <c r="T47" s="42">
        <f t="shared" ca="1" si="1"/>
        <v>9.1999999999999993</v>
      </c>
      <c r="U47">
        <f t="shared" ca="1" si="4"/>
        <v>22.5</v>
      </c>
      <c r="V47" s="8"/>
      <c r="W47" s="90"/>
      <c r="X47" s="54">
        <v>1</v>
      </c>
      <c r="Y47">
        <f t="shared" ca="1" si="5"/>
        <v>0</v>
      </c>
      <c r="Z47" s="117"/>
      <c r="AA47" s="117">
        <f t="shared" ca="1" si="6"/>
        <v>22.5</v>
      </c>
      <c r="AB47" s="117">
        <f>LOOKUP(I47,'Pattern lookup'!$A$4:$A$21,'Pattern lookup'!$H$4:$H$21)*X47</f>
        <v>12</v>
      </c>
    </row>
    <row r="48" spans="1:28" ht="15" hidden="1" customHeight="1" x14ac:dyDescent="0.2">
      <c r="A48" s="91">
        <v>0</v>
      </c>
      <c r="B48" s="47" t="s">
        <v>255</v>
      </c>
      <c r="C48" s="47" t="s">
        <v>259</v>
      </c>
      <c r="D48" s="8" t="s">
        <v>147</v>
      </c>
      <c r="E48" s="8" t="s">
        <v>148</v>
      </c>
      <c r="F48" s="99" t="s">
        <v>424</v>
      </c>
      <c r="G48" s="8" t="s">
        <v>101</v>
      </c>
      <c r="H48" s="8" t="s">
        <v>87</v>
      </c>
      <c r="I48" s="14" t="s">
        <v>426</v>
      </c>
      <c r="J48" s="69">
        <f>LOOKUP(I48,'Pattern lookup'!$A$4:$A$21,'Pattern lookup'!$F$4:$F$21)</f>
        <v>0</v>
      </c>
      <c r="K48" s="54">
        <v>20</v>
      </c>
      <c r="L48" s="13">
        <f ca="1">LOOKUP(I48,'Pattern lookup'!$A$4:$A$29,'Pattern lookup'!$C$4:$C$17)</f>
        <v>37</v>
      </c>
      <c r="M48" s="9">
        <f ca="1">LOOKUP(I48,'Pattern lookup'!$A$4:$A$29,'Pattern lookup'!$D$4:$D$17)</f>
        <v>0</v>
      </c>
      <c r="N48" s="9">
        <f ca="1">LOOKUP(I48,'Pattern lookup'!$A$4:$A$29,'Pattern lookup'!$E$4:$E$17)</f>
        <v>0.35</v>
      </c>
      <c r="O48" s="42">
        <f t="shared" si="0"/>
        <v>0</v>
      </c>
      <c r="P48" s="52">
        <f t="shared" si="2"/>
        <v>0</v>
      </c>
      <c r="Q48" s="56" t="s">
        <v>301</v>
      </c>
      <c r="R48">
        <f t="shared" si="3"/>
        <v>0</v>
      </c>
      <c r="S48" s="54"/>
      <c r="T48" s="41">
        <f t="shared" ca="1" si="1"/>
        <v>0</v>
      </c>
      <c r="U48">
        <f t="shared" ca="1" si="4"/>
        <v>0</v>
      </c>
      <c r="V48" s="8"/>
      <c r="W48" s="90"/>
      <c r="X48" s="54"/>
      <c r="Y48">
        <f t="shared" ca="1" si="5"/>
        <v>0</v>
      </c>
      <c r="Z48" s="117"/>
      <c r="AA48" s="117">
        <f t="shared" ca="1" si="6"/>
        <v>0</v>
      </c>
      <c r="AB48" s="117">
        <f>LOOKUP(I48,'Pattern lookup'!$A$4:$A$21,'Pattern lookup'!$H$4:$H$21)*X48</f>
        <v>0</v>
      </c>
    </row>
    <row r="49" spans="1:28" ht="15" customHeight="1" x14ac:dyDescent="0.2">
      <c r="A49" s="91">
        <v>1</v>
      </c>
      <c r="B49" s="47" t="s">
        <v>255</v>
      </c>
      <c r="C49" s="47" t="s">
        <v>259</v>
      </c>
      <c r="D49" s="8" t="s">
        <v>147</v>
      </c>
      <c r="E49" s="8" t="s">
        <v>148</v>
      </c>
      <c r="F49" s="42" t="s">
        <v>445</v>
      </c>
      <c r="G49" s="8" t="s">
        <v>142</v>
      </c>
      <c r="H49" s="8" t="s">
        <v>87</v>
      </c>
      <c r="I49" s="14" t="s">
        <v>58</v>
      </c>
      <c r="J49" s="69">
        <f>LOOKUP(I49,'Pattern lookup'!$A$4:$A$21,'Pattern lookup'!$F$4:$F$21)</f>
        <v>0</v>
      </c>
      <c r="K49" s="54">
        <v>40</v>
      </c>
      <c r="L49" s="13">
        <f ca="1">LOOKUP(I49,'Pattern lookup'!$A$4:$A$29,'Pattern lookup'!$C$4:$C$17)</f>
        <v>35</v>
      </c>
      <c r="M49" s="9">
        <f ca="1">LOOKUP(I49,'Pattern lookup'!$A$4:$A$29,'Pattern lookup'!$D$4:$D$17)</f>
        <v>0</v>
      </c>
      <c r="N49" s="9">
        <f ca="1">LOOKUP(I49,'Pattern lookup'!$A$4:$A$29,'Pattern lookup'!$E$4:$E$17)</f>
        <v>0.6</v>
      </c>
      <c r="O49" s="42">
        <f t="shared" si="0"/>
        <v>0</v>
      </c>
      <c r="P49" s="52">
        <f t="shared" ca="1" si="2"/>
        <v>59</v>
      </c>
      <c r="Q49" s="56" t="s">
        <v>460</v>
      </c>
      <c r="R49">
        <f t="shared" ca="1" si="3"/>
        <v>59</v>
      </c>
      <c r="S49" s="54"/>
      <c r="T49" s="42">
        <f t="shared" ca="1" si="1"/>
        <v>59</v>
      </c>
      <c r="U49">
        <f t="shared" ca="1" si="4"/>
        <v>0</v>
      </c>
      <c r="V49" s="8"/>
      <c r="W49" s="90"/>
      <c r="X49" s="54"/>
      <c r="Y49">
        <f t="shared" ca="1" si="5"/>
        <v>0</v>
      </c>
      <c r="Z49" s="117"/>
      <c r="AA49" s="117">
        <f t="shared" ca="1" si="6"/>
        <v>0</v>
      </c>
      <c r="AB49" s="117">
        <f>LOOKUP(I49,'Pattern lookup'!$A$4:$A$21,'Pattern lookup'!$H$4:$H$21)*X49</f>
        <v>0</v>
      </c>
    </row>
    <row r="50" spans="1:28" ht="15" customHeight="1" x14ac:dyDescent="0.2">
      <c r="A50" s="91">
        <v>1</v>
      </c>
      <c r="B50" s="47" t="s">
        <v>255</v>
      </c>
      <c r="C50" s="47" t="s">
        <v>259</v>
      </c>
      <c r="D50" s="8" t="s">
        <v>147</v>
      </c>
      <c r="E50" s="8" t="s">
        <v>148</v>
      </c>
      <c r="F50" s="94" t="s">
        <v>469</v>
      </c>
      <c r="G50" s="8" t="s">
        <v>142</v>
      </c>
      <c r="H50" s="8" t="s">
        <v>87</v>
      </c>
      <c r="I50" s="14" t="s">
        <v>58</v>
      </c>
      <c r="J50" s="69">
        <f>LOOKUP(I50,'Pattern lookup'!$A$4:$A$21,'Pattern lookup'!$F$4:$F$21)</f>
        <v>0</v>
      </c>
      <c r="K50" s="54">
        <v>40</v>
      </c>
      <c r="L50" s="13">
        <f ca="1">LOOKUP(I50,'Pattern lookup'!$A$4:$A$29,'Pattern lookup'!$C$4:$C$17)</f>
        <v>35</v>
      </c>
      <c r="M50" s="9">
        <f ca="1">LOOKUP(I50,'Pattern lookup'!$A$4:$A$29,'Pattern lookup'!$D$4:$D$17)</f>
        <v>0</v>
      </c>
      <c r="N50" s="9">
        <f ca="1">LOOKUP(I50,'Pattern lookup'!$A$4:$A$29,'Pattern lookup'!$E$4:$E$17)</f>
        <v>0.6</v>
      </c>
      <c r="O50" s="42">
        <f t="shared" si="0"/>
        <v>0</v>
      </c>
      <c r="P50" s="52">
        <f t="shared" ca="1" si="2"/>
        <v>59</v>
      </c>
      <c r="Q50" s="56" t="s">
        <v>460</v>
      </c>
      <c r="R50">
        <f t="shared" ca="1" si="3"/>
        <v>59</v>
      </c>
      <c r="S50" s="54"/>
      <c r="T50" s="42">
        <f t="shared" ca="1" si="1"/>
        <v>59</v>
      </c>
      <c r="U50">
        <f t="shared" ca="1" si="4"/>
        <v>0</v>
      </c>
      <c r="V50" s="92"/>
      <c r="W50" s="90"/>
      <c r="X50" s="54"/>
      <c r="Y50">
        <f t="shared" ca="1" si="5"/>
        <v>0</v>
      </c>
      <c r="Z50" s="117"/>
      <c r="AA50" s="117">
        <f t="shared" ca="1" si="6"/>
        <v>0</v>
      </c>
      <c r="AB50" s="117">
        <f>LOOKUP(I50,'Pattern lookup'!$A$4:$A$21,'Pattern lookup'!$H$4:$H$21)*X50</f>
        <v>0</v>
      </c>
    </row>
    <row r="51" spans="1:28" ht="15" customHeight="1" x14ac:dyDescent="0.2">
      <c r="A51" s="91">
        <v>1</v>
      </c>
      <c r="B51" s="47" t="s">
        <v>255</v>
      </c>
      <c r="C51" s="47" t="s">
        <v>259</v>
      </c>
      <c r="D51" s="8" t="s">
        <v>147</v>
      </c>
      <c r="E51" s="8" t="s">
        <v>148</v>
      </c>
      <c r="F51" s="95" t="s">
        <v>470</v>
      </c>
      <c r="G51" s="8" t="s">
        <v>142</v>
      </c>
      <c r="H51" s="8" t="s">
        <v>87</v>
      </c>
      <c r="I51" s="14" t="s">
        <v>58</v>
      </c>
      <c r="J51" s="69">
        <f>LOOKUP(I51,'Pattern lookup'!$A$4:$A$21,'Pattern lookup'!$F$4:$F$21)</f>
        <v>0</v>
      </c>
      <c r="K51" s="54">
        <v>40</v>
      </c>
      <c r="L51" s="13">
        <f ca="1">LOOKUP(I51,'Pattern lookup'!$A$4:$A$29,'Pattern lookup'!$C$4:$C$17)</f>
        <v>35</v>
      </c>
      <c r="M51" s="9">
        <f ca="1">LOOKUP(I51,'Pattern lookup'!$A$4:$A$29,'Pattern lookup'!$D$4:$D$17)</f>
        <v>0</v>
      </c>
      <c r="N51" s="9">
        <f ca="1">LOOKUP(I51,'Pattern lookup'!$A$4:$A$29,'Pattern lookup'!$E$4:$E$17)</f>
        <v>0.6</v>
      </c>
      <c r="O51" s="42">
        <f t="shared" si="0"/>
        <v>0</v>
      </c>
      <c r="P51" s="52">
        <f t="shared" ca="1" si="2"/>
        <v>59</v>
      </c>
      <c r="Q51" s="56" t="s">
        <v>460</v>
      </c>
      <c r="R51">
        <f t="shared" ca="1" si="3"/>
        <v>59</v>
      </c>
      <c r="S51" s="54"/>
      <c r="T51" s="42">
        <f t="shared" ca="1" si="1"/>
        <v>59</v>
      </c>
      <c r="U51">
        <f t="shared" ca="1" si="4"/>
        <v>0</v>
      </c>
      <c r="V51" s="8"/>
      <c r="W51" s="90"/>
      <c r="X51" s="54"/>
      <c r="Y51">
        <f t="shared" ca="1" si="5"/>
        <v>0</v>
      </c>
      <c r="Z51" s="117"/>
      <c r="AA51" s="117">
        <f t="shared" ca="1" si="6"/>
        <v>0</v>
      </c>
      <c r="AB51" s="117">
        <f>LOOKUP(I51,'Pattern lookup'!$A$4:$A$21,'Pattern lookup'!$H$4:$H$21)*X51</f>
        <v>0</v>
      </c>
    </row>
    <row r="52" spans="1:28" ht="15" customHeight="1" x14ac:dyDescent="0.2">
      <c r="A52" s="91">
        <v>1</v>
      </c>
      <c r="B52" s="47" t="s">
        <v>254</v>
      </c>
      <c r="C52" s="47" t="s">
        <v>259</v>
      </c>
      <c r="D52" s="8" t="s">
        <v>188</v>
      </c>
      <c r="E52" s="8" t="s">
        <v>195</v>
      </c>
      <c r="F52" s="93" t="s">
        <v>99</v>
      </c>
      <c r="G52" s="8" t="s">
        <v>100</v>
      </c>
      <c r="H52" s="8" t="s">
        <v>87</v>
      </c>
      <c r="I52" s="14" t="s">
        <v>47</v>
      </c>
      <c r="J52" s="69">
        <f>LOOKUP(I52,'Pattern lookup'!$A$4:$A$21,'Pattern lookup'!$F$4:$F$21)</f>
        <v>15</v>
      </c>
      <c r="K52" s="54">
        <v>24</v>
      </c>
      <c r="L52" s="13">
        <f ca="1">LOOKUP(I52,'Pattern lookup'!$A$4:$A$29,'Pattern lookup'!$C$4:$C$17)</f>
        <v>164</v>
      </c>
      <c r="M52" s="9">
        <f ca="1">LOOKUP(I52,'Pattern lookup'!$A$4:$A$29,'Pattern lookup'!$D$4:$D$17)</f>
        <v>34.5</v>
      </c>
      <c r="N52" s="9">
        <f ca="1">LOOKUP(I52,'Pattern lookup'!$A$4:$A$29,'Pattern lookup'!$E$4:$E$17)</f>
        <v>0.7</v>
      </c>
      <c r="O52" s="42">
        <f t="shared" si="0"/>
        <v>2</v>
      </c>
      <c r="P52" s="52">
        <f t="shared" ca="1" si="2"/>
        <v>249.8</v>
      </c>
      <c r="Q52" s="56" t="s">
        <v>465</v>
      </c>
      <c r="R52">
        <f t="shared" ca="1" si="3"/>
        <v>180.8</v>
      </c>
      <c r="S52" s="54">
        <v>2</v>
      </c>
      <c r="T52" s="42">
        <f t="shared" ca="1" si="1"/>
        <v>249.8</v>
      </c>
      <c r="U52">
        <f t="shared" ca="1" si="4"/>
        <v>0</v>
      </c>
      <c r="V52" s="8"/>
      <c r="W52" s="90"/>
      <c r="X52" s="54"/>
      <c r="Y52">
        <f t="shared" ca="1" si="5"/>
        <v>0</v>
      </c>
      <c r="Z52" s="117"/>
      <c r="AA52" s="117">
        <f t="shared" ca="1" si="6"/>
        <v>0</v>
      </c>
      <c r="AB52" s="117">
        <f>LOOKUP(I52,'Pattern lookup'!$A$4:$A$21,'Pattern lookup'!$H$4:$H$21)*X52</f>
        <v>0</v>
      </c>
    </row>
    <row r="53" spans="1:28" ht="15" customHeight="1" x14ac:dyDescent="0.2">
      <c r="A53" s="91">
        <v>1</v>
      </c>
      <c r="B53" s="47" t="s">
        <v>254</v>
      </c>
      <c r="C53" s="47" t="s">
        <v>259</v>
      </c>
      <c r="D53" s="8" t="s">
        <v>188</v>
      </c>
      <c r="E53" s="8" t="s">
        <v>195</v>
      </c>
      <c r="F53" s="93" t="s">
        <v>99</v>
      </c>
      <c r="G53" s="8" t="s">
        <v>100</v>
      </c>
      <c r="H53" s="8" t="s">
        <v>88</v>
      </c>
      <c r="I53" s="14" t="s">
        <v>48</v>
      </c>
      <c r="J53" s="69">
        <f>LOOKUP(I53,'Pattern lookup'!$A$4:$A$21,'Pattern lookup'!$F$4:$F$21)</f>
        <v>15</v>
      </c>
      <c r="K53" s="54">
        <v>12</v>
      </c>
      <c r="L53" s="13">
        <f ca="1">LOOKUP(I53,'Pattern lookup'!$A$4:$A$29,'Pattern lookup'!$C$4:$C$17)</f>
        <v>2</v>
      </c>
      <c r="M53" s="9">
        <f ca="1">LOOKUP(I53,'Pattern lookup'!$A$4:$A$29,'Pattern lookup'!$D$4:$D$17)</f>
        <v>22.5</v>
      </c>
      <c r="N53" s="9">
        <f ca="1">LOOKUP(I53,'Pattern lookup'!$A$4:$A$29,'Pattern lookup'!$E$4:$E$17)</f>
        <v>0.6</v>
      </c>
      <c r="O53" s="42">
        <f t="shared" si="0"/>
        <v>1</v>
      </c>
      <c r="P53" s="52">
        <f t="shared" ca="1" si="2"/>
        <v>31.7</v>
      </c>
      <c r="Q53" s="56" t="s">
        <v>465</v>
      </c>
      <c r="R53">
        <f t="shared" ca="1" si="3"/>
        <v>9.1999999999999993</v>
      </c>
      <c r="S53" s="54">
        <v>1</v>
      </c>
      <c r="T53" s="42">
        <f t="shared" ca="1" si="1"/>
        <v>31.7</v>
      </c>
      <c r="U53">
        <f t="shared" ca="1" si="4"/>
        <v>0</v>
      </c>
      <c r="V53" s="8"/>
      <c r="W53" s="90"/>
      <c r="X53" s="54"/>
      <c r="Y53">
        <f t="shared" ca="1" si="5"/>
        <v>0</v>
      </c>
      <c r="Z53" s="117"/>
      <c r="AA53" s="117">
        <f t="shared" ca="1" si="6"/>
        <v>0</v>
      </c>
      <c r="AB53" s="117">
        <f>LOOKUP(I53,'Pattern lookup'!$A$4:$A$21,'Pattern lookup'!$H$4:$H$21)*X53</f>
        <v>0</v>
      </c>
    </row>
    <row r="54" spans="1:28" ht="15" customHeight="1" x14ac:dyDescent="0.2">
      <c r="A54" s="91">
        <v>1</v>
      </c>
      <c r="B54" s="47" t="s">
        <v>254</v>
      </c>
      <c r="C54" s="47" t="s">
        <v>259</v>
      </c>
      <c r="D54" s="8" t="s">
        <v>149</v>
      </c>
      <c r="E54" s="8" t="s">
        <v>150</v>
      </c>
      <c r="F54" s="114" t="s">
        <v>108</v>
      </c>
      <c r="G54" s="8" t="s">
        <v>100</v>
      </c>
      <c r="H54" s="8" t="s">
        <v>87</v>
      </c>
      <c r="I54" s="14" t="s">
        <v>47</v>
      </c>
      <c r="J54" s="69">
        <f>LOOKUP(I54,'Pattern lookup'!$A$4:$A$21,'Pattern lookup'!$F$4:$F$21)</f>
        <v>15</v>
      </c>
      <c r="K54" s="54">
        <v>33</v>
      </c>
      <c r="L54" s="13">
        <f ca="1">LOOKUP(I54,'Pattern lookup'!$A$4:$A$29,'Pattern lookup'!$C$4:$C$17)</f>
        <v>164</v>
      </c>
      <c r="M54" s="9">
        <f ca="1">LOOKUP(I54,'Pattern lookup'!$A$4:$A$29,'Pattern lookup'!$D$4:$D$17)</f>
        <v>34.5</v>
      </c>
      <c r="N54" s="9">
        <f ca="1">LOOKUP(I54,'Pattern lookup'!$A$4:$A$29,'Pattern lookup'!$E$4:$E$17)</f>
        <v>0.7</v>
      </c>
      <c r="O54" s="42">
        <f t="shared" si="0"/>
        <v>3</v>
      </c>
      <c r="P54" s="52">
        <f t="shared" ca="1" si="2"/>
        <v>290.60000000000002</v>
      </c>
      <c r="Q54" s="56" t="s">
        <v>460</v>
      </c>
      <c r="R54">
        <f t="shared" ca="1" si="3"/>
        <v>187.1</v>
      </c>
      <c r="S54" s="54">
        <v>1</v>
      </c>
      <c r="T54" s="42">
        <f t="shared" ca="1" si="1"/>
        <v>221.6</v>
      </c>
      <c r="U54">
        <f t="shared" ca="1" si="4"/>
        <v>69.000000000000028</v>
      </c>
      <c r="V54" s="8"/>
      <c r="W54" s="90"/>
      <c r="X54" s="54">
        <v>2</v>
      </c>
      <c r="Y54">
        <f t="shared" ca="1" si="5"/>
        <v>0</v>
      </c>
      <c r="Z54" s="117"/>
      <c r="AA54" s="117">
        <f t="shared" ca="1" si="6"/>
        <v>69</v>
      </c>
      <c r="AB54" s="117">
        <f>LOOKUP(I54,'Pattern lookup'!$A$4:$A$21,'Pattern lookup'!$H$4:$H$21)*X54</f>
        <v>24</v>
      </c>
    </row>
    <row r="55" spans="1:28" ht="15" customHeight="1" x14ac:dyDescent="0.2">
      <c r="A55" s="91">
        <v>1</v>
      </c>
      <c r="B55" s="47" t="s">
        <v>254</v>
      </c>
      <c r="C55" s="47" t="s">
        <v>259</v>
      </c>
      <c r="D55" s="8" t="s">
        <v>149</v>
      </c>
      <c r="E55" s="8" t="s">
        <v>150</v>
      </c>
      <c r="F55" s="114" t="s">
        <v>108</v>
      </c>
      <c r="G55" s="8" t="s">
        <v>100</v>
      </c>
      <c r="H55" s="8" t="s">
        <v>88</v>
      </c>
      <c r="I55" s="14" t="s">
        <v>48</v>
      </c>
      <c r="J55" s="69">
        <f>LOOKUP(I55,'Pattern lookup'!$A$4:$A$21,'Pattern lookup'!$F$4:$F$21)</f>
        <v>15</v>
      </c>
      <c r="K55" s="54">
        <v>3</v>
      </c>
      <c r="L55" s="13">
        <f ca="1">LOOKUP(I55,'Pattern lookup'!$A$4:$A$29,'Pattern lookup'!$C$4:$C$17)</f>
        <v>2</v>
      </c>
      <c r="M55" s="9">
        <f ca="1">LOOKUP(I55,'Pattern lookup'!$A$4:$A$29,'Pattern lookup'!$D$4:$D$17)</f>
        <v>22.5</v>
      </c>
      <c r="N55" s="9">
        <f ca="1">LOOKUP(I55,'Pattern lookup'!$A$4:$A$29,'Pattern lookup'!$E$4:$E$17)</f>
        <v>0.6</v>
      </c>
      <c r="O55" s="42">
        <f t="shared" si="0"/>
        <v>1</v>
      </c>
      <c r="P55" s="52">
        <f t="shared" ca="1" si="2"/>
        <v>26.3</v>
      </c>
      <c r="Q55" s="56" t="s">
        <v>460</v>
      </c>
      <c r="R55">
        <f t="shared" ca="1" si="3"/>
        <v>3.8</v>
      </c>
      <c r="S55" s="54"/>
      <c r="T55" s="42">
        <f t="shared" ca="1" si="1"/>
        <v>3.8</v>
      </c>
      <c r="U55">
        <f t="shared" ca="1" si="4"/>
        <v>22.5</v>
      </c>
      <c r="V55" s="8"/>
      <c r="W55" s="90"/>
      <c r="X55" s="54">
        <v>1</v>
      </c>
      <c r="Y55">
        <f t="shared" ca="1" si="5"/>
        <v>0</v>
      </c>
      <c r="Z55" s="117"/>
      <c r="AA55" s="117">
        <f t="shared" ca="1" si="6"/>
        <v>22.5</v>
      </c>
      <c r="AB55" s="117">
        <f>LOOKUP(I55,'Pattern lookup'!$A$4:$A$21,'Pattern lookup'!$H$4:$H$21)*X55</f>
        <v>12</v>
      </c>
    </row>
    <row r="56" spans="1:28" ht="15" customHeight="1" x14ac:dyDescent="0.2">
      <c r="A56" s="91">
        <v>1</v>
      </c>
      <c r="B56" s="47" t="s">
        <v>254</v>
      </c>
      <c r="C56" s="47" t="s">
        <v>259</v>
      </c>
      <c r="D56" s="8" t="s">
        <v>151</v>
      </c>
      <c r="E56" s="8" t="s">
        <v>152</v>
      </c>
      <c r="F56" s="93" t="s">
        <v>99</v>
      </c>
      <c r="G56" s="8" t="s">
        <v>100</v>
      </c>
      <c r="H56" s="8" t="s">
        <v>87</v>
      </c>
      <c r="I56" s="14" t="s">
        <v>47</v>
      </c>
      <c r="J56" s="69">
        <f>LOOKUP(I56,'Pattern lookup'!$A$4:$A$21,'Pattern lookup'!$F$4:$F$21)</f>
        <v>15</v>
      </c>
      <c r="K56" s="54">
        <v>94</v>
      </c>
      <c r="L56" s="13">
        <f ca="1">LOOKUP(I56,'Pattern lookup'!$A$4:$A$29,'Pattern lookup'!$C$4:$C$17)</f>
        <v>164</v>
      </c>
      <c r="M56" s="9">
        <f ca="1">LOOKUP(I56,'Pattern lookup'!$A$4:$A$29,'Pattern lookup'!$D$4:$D$17)</f>
        <v>34.5</v>
      </c>
      <c r="N56" s="9">
        <f ca="1">LOOKUP(I56,'Pattern lookup'!$A$4:$A$29,'Pattern lookup'!$E$4:$E$17)</f>
        <v>0.7</v>
      </c>
      <c r="O56" s="42">
        <f t="shared" si="0"/>
        <v>7</v>
      </c>
      <c r="P56" s="52">
        <f t="shared" ca="1" si="2"/>
        <v>471.3</v>
      </c>
      <c r="Q56" s="56" t="s">
        <v>463</v>
      </c>
      <c r="R56">
        <f t="shared" ca="1" si="3"/>
        <v>229.8</v>
      </c>
      <c r="S56" s="54"/>
      <c r="T56" s="42">
        <f t="shared" ca="1" si="1"/>
        <v>229.8</v>
      </c>
      <c r="U56">
        <f t="shared" ca="1" si="4"/>
        <v>241.5</v>
      </c>
      <c r="V56" s="8"/>
      <c r="W56" s="90"/>
      <c r="X56" s="54">
        <v>7</v>
      </c>
      <c r="Y56">
        <f t="shared" ca="1" si="5"/>
        <v>0</v>
      </c>
      <c r="Z56" s="117"/>
      <c r="AA56" s="117">
        <f t="shared" ca="1" si="6"/>
        <v>241.5</v>
      </c>
      <c r="AB56" s="117">
        <f>LOOKUP(I56,'Pattern lookup'!$A$4:$A$21,'Pattern lookup'!$H$4:$H$21)*X56</f>
        <v>84</v>
      </c>
    </row>
    <row r="57" spans="1:28" ht="15" customHeight="1" x14ac:dyDescent="0.2">
      <c r="A57" s="91">
        <v>1</v>
      </c>
      <c r="B57" s="47" t="s">
        <v>254</v>
      </c>
      <c r="C57" s="47" t="s">
        <v>259</v>
      </c>
      <c r="D57" s="8" t="s">
        <v>151</v>
      </c>
      <c r="E57" s="8" t="s">
        <v>152</v>
      </c>
      <c r="F57" s="93" t="s">
        <v>99</v>
      </c>
      <c r="G57" s="8" t="s">
        <v>100</v>
      </c>
      <c r="H57" s="8" t="s">
        <v>88</v>
      </c>
      <c r="I57" s="14" t="s">
        <v>48</v>
      </c>
      <c r="J57" s="69">
        <f>LOOKUP(I57,'Pattern lookup'!$A$4:$A$21,'Pattern lookup'!$F$4:$F$21)</f>
        <v>15</v>
      </c>
      <c r="K57" s="54">
        <v>12</v>
      </c>
      <c r="L57" s="13">
        <f ca="1">LOOKUP(I57,'Pattern lookup'!$A$4:$A$29,'Pattern lookup'!$C$4:$C$17)</f>
        <v>2</v>
      </c>
      <c r="M57" s="9">
        <f ca="1">LOOKUP(I57,'Pattern lookup'!$A$4:$A$29,'Pattern lookup'!$D$4:$D$17)</f>
        <v>22.5</v>
      </c>
      <c r="N57" s="9">
        <f ca="1">LOOKUP(I57,'Pattern lookup'!$A$4:$A$29,'Pattern lookup'!$E$4:$E$17)</f>
        <v>0.6</v>
      </c>
      <c r="O57" s="42">
        <f t="shared" si="0"/>
        <v>1</v>
      </c>
      <c r="P57" s="52">
        <f t="shared" ca="1" si="2"/>
        <v>31.7</v>
      </c>
      <c r="Q57" s="56" t="s">
        <v>463</v>
      </c>
      <c r="R57">
        <f t="shared" ca="1" si="3"/>
        <v>9.1999999999999993</v>
      </c>
      <c r="S57" s="54"/>
      <c r="T57" s="42">
        <f t="shared" ca="1" si="1"/>
        <v>9.1999999999999993</v>
      </c>
      <c r="U57">
        <f t="shared" ca="1" si="4"/>
        <v>22.5</v>
      </c>
      <c r="V57" s="8"/>
      <c r="W57" s="90"/>
      <c r="X57" s="54">
        <v>1</v>
      </c>
      <c r="Y57">
        <f t="shared" ca="1" si="5"/>
        <v>0</v>
      </c>
      <c r="Z57" s="117"/>
      <c r="AA57" s="117">
        <f t="shared" ca="1" si="6"/>
        <v>22.5</v>
      </c>
      <c r="AB57" s="117">
        <f>LOOKUP(I57,'Pattern lookup'!$A$4:$A$21,'Pattern lookup'!$H$4:$H$21)*X57</f>
        <v>12</v>
      </c>
    </row>
    <row r="58" spans="1:28" ht="15" customHeight="1" x14ac:dyDescent="0.2">
      <c r="A58" s="91">
        <v>1</v>
      </c>
      <c r="B58" s="47" t="s">
        <v>255</v>
      </c>
      <c r="C58" s="47" t="s">
        <v>259</v>
      </c>
      <c r="D58" s="8" t="s">
        <v>151</v>
      </c>
      <c r="E58" s="8" t="s">
        <v>152</v>
      </c>
      <c r="F58" s="94" t="s">
        <v>469</v>
      </c>
      <c r="G58" s="8" t="s">
        <v>142</v>
      </c>
      <c r="H58" s="8" t="s">
        <v>87</v>
      </c>
      <c r="I58" s="14" t="s">
        <v>58</v>
      </c>
      <c r="J58" s="69">
        <f>LOOKUP(I58,'Pattern lookup'!$A$4:$A$21,'Pattern lookup'!$F$4:$F$21)</f>
        <v>0</v>
      </c>
      <c r="K58" s="54">
        <v>40</v>
      </c>
      <c r="L58" s="13">
        <f ca="1">LOOKUP(I58,'Pattern lookup'!$A$4:$A$29,'Pattern lookup'!$C$4:$C$17)</f>
        <v>35</v>
      </c>
      <c r="M58" s="9">
        <f ca="1">LOOKUP(I58,'Pattern lookup'!$A$4:$A$29,'Pattern lookup'!$D$4:$D$17)</f>
        <v>0</v>
      </c>
      <c r="N58" s="9">
        <f ca="1">LOOKUP(I58,'Pattern lookup'!$A$4:$A$29,'Pattern lookup'!$E$4:$E$17)</f>
        <v>0.6</v>
      </c>
      <c r="O58" s="42">
        <f t="shared" si="0"/>
        <v>0</v>
      </c>
      <c r="P58" s="52">
        <f t="shared" ca="1" si="2"/>
        <v>59</v>
      </c>
      <c r="Q58" s="56" t="s">
        <v>463</v>
      </c>
      <c r="R58">
        <f t="shared" ca="1" si="3"/>
        <v>59</v>
      </c>
      <c r="S58" s="54"/>
      <c r="T58" s="42">
        <f t="shared" ca="1" si="1"/>
        <v>59</v>
      </c>
      <c r="U58">
        <f t="shared" ca="1" si="4"/>
        <v>0</v>
      </c>
      <c r="V58" s="92"/>
      <c r="W58" s="90"/>
      <c r="X58" s="54"/>
      <c r="Y58">
        <f t="shared" ca="1" si="5"/>
        <v>0</v>
      </c>
      <c r="Z58" s="117"/>
      <c r="AA58" s="117">
        <f t="shared" ca="1" si="6"/>
        <v>0</v>
      </c>
      <c r="AB58" s="117">
        <f>LOOKUP(I58,'Pattern lookup'!$A$4:$A$21,'Pattern lookup'!$H$4:$H$21)*X58</f>
        <v>0</v>
      </c>
    </row>
    <row r="59" spans="1:28" ht="15" customHeight="1" x14ac:dyDescent="0.2">
      <c r="A59" s="91">
        <v>1</v>
      </c>
      <c r="B59" s="47" t="s">
        <v>255</v>
      </c>
      <c r="C59" s="47" t="s">
        <v>259</v>
      </c>
      <c r="D59" s="8" t="s">
        <v>151</v>
      </c>
      <c r="E59" s="8" t="s">
        <v>152</v>
      </c>
      <c r="F59" s="95" t="s">
        <v>470</v>
      </c>
      <c r="G59" s="8" t="s">
        <v>142</v>
      </c>
      <c r="H59" s="8" t="s">
        <v>87</v>
      </c>
      <c r="I59" s="14" t="s">
        <v>58</v>
      </c>
      <c r="J59" s="69">
        <f>LOOKUP(I59,'Pattern lookup'!$A$4:$A$21,'Pattern lookup'!$F$4:$F$21)</f>
        <v>0</v>
      </c>
      <c r="K59" s="54">
        <v>40</v>
      </c>
      <c r="L59" s="13">
        <f ca="1">LOOKUP(I59,'Pattern lookup'!$A$4:$A$29,'Pattern lookup'!$C$4:$C$17)</f>
        <v>35</v>
      </c>
      <c r="M59" s="9">
        <f ca="1">LOOKUP(I59,'Pattern lookup'!$A$4:$A$29,'Pattern lookup'!$D$4:$D$17)</f>
        <v>0</v>
      </c>
      <c r="N59" s="9">
        <f ca="1">LOOKUP(I59,'Pattern lookup'!$A$4:$A$29,'Pattern lookup'!$E$4:$E$17)</f>
        <v>0.6</v>
      </c>
      <c r="O59" s="42">
        <f t="shared" si="0"/>
        <v>0</v>
      </c>
      <c r="P59" s="52">
        <f t="shared" ca="1" si="2"/>
        <v>59</v>
      </c>
      <c r="Q59" s="56" t="s">
        <v>463</v>
      </c>
      <c r="R59">
        <f t="shared" ca="1" si="3"/>
        <v>59</v>
      </c>
      <c r="S59" s="54"/>
      <c r="T59" s="41">
        <f t="shared" ca="1" si="1"/>
        <v>59</v>
      </c>
      <c r="U59">
        <f t="shared" ca="1" si="4"/>
        <v>0</v>
      </c>
      <c r="V59" s="8"/>
      <c r="W59" s="90"/>
      <c r="X59" s="54"/>
      <c r="Y59">
        <f t="shared" ca="1" si="5"/>
        <v>0</v>
      </c>
      <c r="Z59" s="117"/>
      <c r="AA59" s="117">
        <f t="shared" ca="1" si="6"/>
        <v>0</v>
      </c>
      <c r="AB59" s="117">
        <f>LOOKUP(I59,'Pattern lookup'!$A$4:$A$21,'Pattern lookup'!$H$4:$H$21)*X59</f>
        <v>0</v>
      </c>
    </row>
    <row r="60" spans="1:28" ht="15" hidden="1" customHeight="1" x14ac:dyDescent="0.2">
      <c r="A60" s="91">
        <v>0</v>
      </c>
      <c r="B60" s="47" t="s">
        <v>255</v>
      </c>
      <c r="C60" s="47" t="s">
        <v>259</v>
      </c>
      <c r="D60" s="8" t="s">
        <v>151</v>
      </c>
      <c r="E60" s="8" t="s">
        <v>152</v>
      </c>
      <c r="F60" s="96" t="s">
        <v>153</v>
      </c>
      <c r="G60" s="8" t="s">
        <v>146</v>
      </c>
      <c r="H60" s="8" t="s">
        <v>87</v>
      </c>
      <c r="I60" s="14" t="s">
        <v>58</v>
      </c>
      <c r="J60" s="69">
        <f>LOOKUP(I60,'Pattern lookup'!$A$4:$A$21,'Pattern lookup'!$F$4:$F$21)</f>
        <v>0</v>
      </c>
      <c r="K60" s="54">
        <v>40</v>
      </c>
      <c r="L60" s="13">
        <f ca="1">LOOKUP(I60,'Pattern lookup'!$A$4:$A$29,'Pattern lookup'!$C$4:$C$17)</f>
        <v>35</v>
      </c>
      <c r="M60" s="9">
        <f ca="1">LOOKUP(I60,'Pattern lookup'!$A$4:$A$29,'Pattern lookup'!$D$4:$D$17)</f>
        <v>0</v>
      </c>
      <c r="N60" s="9">
        <f ca="1">LOOKUP(I60,'Pattern lookup'!$A$4:$A$29,'Pattern lookup'!$E$4:$E$17)</f>
        <v>0.6</v>
      </c>
      <c r="O60" s="42">
        <f t="shared" si="0"/>
        <v>0</v>
      </c>
      <c r="P60" s="52">
        <f t="shared" si="2"/>
        <v>0</v>
      </c>
      <c r="Q60" s="55" t="s">
        <v>301</v>
      </c>
      <c r="R60">
        <f t="shared" si="3"/>
        <v>0</v>
      </c>
      <c r="S60" s="54"/>
      <c r="T60" s="42">
        <f t="shared" ca="1" si="1"/>
        <v>0</v>
      </c>
      <c r="U60">
        <f t="shared" ca="1" si="4"/>
        <v>0</v>
      </c>
      <c r="V60" s="8"/>
      <c r="W60" s="90"/>
      <c r="X60" s="54"/>
      <c r="Y60">
        <f t="shared" ca="1" si="5"/>
        <v>0</v>
      </c>
      <c r="Z60" s="117"/>
      <c r="AA60" s="117">
        <f t="shared" ca="1" si="6"/>
        <v>0</v>
      </c>
      <c r="AB60" s="117">
        <f>LOOKUP(I60,'Pattern lookup'!$A$4:$A$21,'Pattern lookup'!$H$4:$H$21)*X60</f>
        <v>0</v>
      </c>
    </row>
    <row r="61" spans="1:28" ht="15" hidden="1" customHeight="1" x14ac:dyDescent="0.2">
      <c r="A61" s="91">
        <v>0</v>
      </c>
      <c r="B61" s="47" t="s">
        <v>255</v>
      </c>
      <c r="C61" s="47" t="s">
        <v>259</v>
      </c>
      <c r="D61" s="8" t="s">
        <v>151</v>
      </c>
      <c r="E61" s="8" t="s">
        <v>152</v>
      </c>
      <c r="F61" s="100" t="s">
        <v>425</v>
      </c>
      <c r="G61" s="8" t="s">
        <v>101</v>
      </c>
      <c r="H61" s="8" t="s">
        <v>87</v>
      </c>
      <c r="I61" s="14" t="s">
        <v>426</v>
      </c>
      <c r="J61" s="69">
        <f>LOOKUP(I61,'Pattern lookup'!$A$4:$A$21,'Pattern lookup'!$F$4:$F$21)</f>
        <v>0</v>
      </c>
      <c r="K61" s="54">
        <v>10</v>
      </c>
      <c r="L61" s="13">
        <f ca="1">LOOKUP(I61,'Pattern lookup'!$A$4:$A$29,'Pattern lookup'!$C$4:$C$17)</f>
        <v>37</v>
      </c>
      <c r="M61" s="9">
        <f ca="1">LOOKUP(I61,'Pattern lookup'!$A$4:$A$29,'Pattern lookup'!$D$4:$D$17)</f>
        <v>0</v>
      </c>
      <c r="N61" s="9">
        <f ca="1">LOOKUP(I61,'Pattern lookup'!$A$4:$A$29,'Pattern lookup'!$E$4:$E$17)</f>
        <v>0.35</v>
      </c>
      <c r="O61" s="42">
        <f t="shared" ref="O61:O119" si="7">IF(J61&lt;&gt;0, ROUNDUP(K61/J61,0), 0)</f>
        <v>0</v>
      </c>
      <c r="P61" s="52">
        <f t="shared" ref="P61:P119" si="8">IF(A61=1,(L61+M61*O61+N61*K61),0)</f>
        <v>0</v>
      </c>
      <c r="Q61" s="56" t="s">
        <v>301</v>
      </c>
      <c r="R61">
        <f t="shared" ref="R61:R119" si="9">IF(AND(Q61&lt;&gt;"0 - Unallocated",Q61&lt;&gt;"z - Cancelled"),L61+N61*K61,)</f>
        <v>0</v>
      </c>
      <c r="S61" s="54"/>
      <c r="T61" s="42">
        <f t="shared" ref="T61:T119" ca="1" si="10">R61+S61*M61</f>
        <v>0</v>
      </c>
      <c r="U61">
        <f t="shared" ref="U61:U119" ca="1" si="11">P61-T61</f>
        <v>0</v>
      </c>
      <c r="V61" s="8"/>
      <c r="W61" s="90"/>
      <c r="X61" s="54"/>
      <c r="Y61">
        <f t="shared" ref="Y61:Y119" ca="1" si="12">U61-(X61*M61+V61*M61)</f>
        <v>0</v>
      </c>
      <c r="Z61" s="117"/>
      <c r="AA61" s="117">
        <f t="shared" ref="AA61:AA119" ca="1" si="13">X61*M61</f>
        <v>0</v>
      </c>
      <c r="AB61" s="117">
        <f>LOOKUP(I61,'Pattern lookup'!$A$4:$A$21,'Pattern lookup'!$H$4:$H$21)*X61</f>
        <v>0</v>
      </c>
    </row>
    <row r="62" spans="1:28" ht="15" hidden="1" customHeight="1" x14ac:dyDescent="0.2">
      <c r="A62" s="91">
        <v>0</v>
      </c>
      <c r="B62" s="47" t="s">
        <v>254</v>
      </c>
      <c r="C62" s="47" t="s">
        <v>259</v>
      </c>
      <c r="D62" s="8" t="s">
        <v>151</v>
      </c>
      <c r="E62" s="8" t="s">
        <v>152</v>
      </c>
      <c r="F62" s="93" t="s">
        <v>99</v>
      </c>
      <c r="G62" s="8" t="s">
        <v>107</v>
      </c>
      <c r="H62" s="8" t="s">
        <v>87</v>
      </c>
      <c r="I62" s="14" t="s">
        <v>56</v>
      </c>
      <c r="J62" s="69">
        <f>LOOKUP(I62,'Pattern lookup'!$A$4:$A$21,'Pattern lookup'!$F$4:$F$21)</f>
        <v>15</v>
      </c>
      <c r="K62" s="54">
        <v>10</v>
      </c>
      <c r="L62" s="13">
        <f ca="1">LOOKUP(I62,'Pattern lookup'!$A$4:$A$29,'Pattern lookup'!$C$4:$C$17)</f>
        <v>29</v>
      </c>
      <c r="M62" s="9">
        <f ca="1">LOOKUP(I62,'Pattern lookup'!$A$4:$A$29,'Pattern lookup'!$D$4:$D$17)</f>
        <v>34.5</v>
      </c>
      <c r="N62" s="9">
        <f ca="1">LOOKUP(I62,'Pattern lookup'!$A$4:$A$29,'Pattern lookup'!$E$4:$E$17)</f>
        <v>0.7</v>
      </c>
      <c r="O62" s="42">
        <f t="shared" si="7"/>
        <v>1</v>
      </c>
      <c r="P62" s="52">
        <f t="shared" si="8"/>
        <v>0</v>
      </c>
      <c r="Q62" s="55" t="s">
        <v>301</v>
      </c>
      <c r="R62">
        <f t="shared" si="9"/>
        <v>0</v>
      </c>
      <c r="S62" s="54"/>
      <c r="T62" s="42">
        <f t="shared" ca="1" si="10"/>
        <v>0</v>
      </c>
      <c r="U62">
        <f t="shared" ca="1" si="11"/>
        <v>0</v>
      </c>
      <c r="V62" s="8"/>
      <c r="W62" s="90"/>
      <c r="X62" s="54"/>
      <c r="Y62">
        <f t="shared" ca="1" si="12"/>
        <v>0</v>
      </c>
      <c r="Z62" s="117"/>
      <c r="AA62" s="117">
        <f t="shared" ca="1" si="13"/>
        <v>0</v>
      </c>
      <c r="AB62" s="117">
        <f>LOOKUP(I62,'Pattern lookup'!$A$4:$A$21,'Pattern lookup'!$H$4:$H$21)*X62</f>
        <v>0</v>
      </c>
    </row>
    <row r="63" spans="1:28" ht="15" customHeight="1" x14ac:dyDescent="0.2">
      <c r="A63" s="91">
        <v>1</v>
      </c>
      <c r="B63" s="47" t="s">
        <v>254</v>
      </c>
      <c r="C63" s="47" t="s">
        <v>259</v>
      </c>
      <c r="D63" s="8" t="s">
        <v>154</v>
      </c>
      <c r="E63" s="8" t="s">
        <v>155</v>
      </c>
      <c r="F63" s="93" t="s">
        <v>99</v>
      </c>
      <c r="G63" s="8" t="s">
        <v>100</v>
      </c>
      <c r="H63" s="8" t="s">
        <v>87</v>
      </c>
      <c r="I63" s="14" t="s">
        <v>47</v>
      </c>
      <c r="J63" s="69">
        <f>LOOKUP(I63,'Pattern lookup'!$A$4:$A$21,'Pattern lookup'!$F$4:$F$21)</f>
        <v>15</v>
      </c>
      <c r="K63" s="54">
        <v>30</v>
      </c>
      <c r="L63" s="13">
        <f ca="1">LOOKUP(I63,'Pattern lookup'!$A$4:$A$29,'Pattern lookup'!$C$4:$C$17)</f>
        <v>164</v>
      </c>
      <c r="M63" s="9">
        <f ca="1">LOOKUP(I63,'Pattern lookup'!$A$4:$A$29,'Pattern lookup'!$D$4:$D$17)</f>
        <v>34.5</v>
      </c>
      <c r="N63" s="9">
        <f ca="1">LOOKUP(I63,'Pattern lookup'!$A$4:$A$29,'Pattern lookup'!$E$4:$E$17)</f>
        <v>0.7</v>
      </c>
      <c r="O63" s="42">
        <f t="shared" si="7"/>
        <v>2</v>
      </c>
      <c r="P63" s="52">
        <f t="shared" ca="1" si="8"/>
        <v>254</v>
      </c>
      <c r="Q63" s="56" t="s">
        <v>456</v>
      </c>
      <c r="R63">
        <f t="shared" ca="1" si="9"/>
        <v>185</v>
      </c>
      <c r="S63" s="54">
        <v>2</v>
      </c>
      <c r="T63" s="42">
        <f t="shared" ca="1" si="10"/>
        <v>254</v>
      </c>
      <c r="U63">
        <f t="shared" ca="1" si="11"/>
        <v>0</v>
      </c>
      <c r="V63" s="8"/>
      <c r="W63" s="90"/>
      <c r="X63" s="54"/>
      <c r="Y63">
        <f t="shared" ca="1" si="12"/>
        <v>0</v>
      </c>
      <c r="Z63" s="117"/>
      <c r="AA63" s="117">
        <f t="shared" ca="1" si="13"/>
        <v>0</v>
      </c>
      <c r="AB63" s="117">
        <f>LOOKUP(I63,'Pattern lookup'!$A$4:$A$21,'Pattern lookup'!$H$4:$H$21)*X63</f>
        <v>0</v>
      </c>
    </row>
    <row r="64" spans="1:28" ht="15" customHeight="1" x14ac:dyDescent="0.2">
      <c r="A64" s="91">
        <v>1</v>
      </c>
      <c r="B64" s="47" t="s">
        <v>254</v>
      </c>
      <c r="C64" s="47" t="s">
        <v>259</v>
      </c>
      <c r="D64" s="8" t="s">
        <v>154</v>
      </c>
      <c r="E64" s="8" t="s">
        <v>155</v>
      </c>
      <c r="F64" s="93" t="s">
        <v>99</v>
      </c>
      <c r="G64" s="8" t="s">
        <v>100</v>
      </c>
      <c r="H64" s="8" t="s">
        <v>88</v>
      </c>
      <c r="I64" s="14" t="s">
        <v>48</v>
      </c>
      <c r="J64" s="69">
        <f>LOOKUP(I64,'Pattern lookup'!$A$4:$A$21,'Pattern lookup'!$F$4:$F$21)</f>
        <v>15</v>
      </c>
      <c r="K64" s="54">
        <v>3</v>
      </c>
      <c r="L64" s="13">
        <f ca="1">LOOKUP(I64,'Pattern lookup'!$A$4:$A$29,'Pattern lookup'!$C$4:$C$17)</f>
        <v>2</v>
      </c>
      <c r="M64" s="9">
        <f ca="1">LOOKUP(I64,'Pattern lookup'!$A$4:$A$29,'Pattern lookup'!$D$4:$D$17)</f>
        <v>22.5</v>
      </c>
      <c r="N64" s="9">
        <f ca="1">LOOKUP(I64,'Pattern lookup'!$A$4:$A$29,'Pattern lookup'!$E$4:$E$17)</f>
        <v>0.6</v>
      </c>
      <c r="O64" s="42">
        <f t="shared" si="7"/>
        <v>1</v>
      </c>
      <c r="P64" s="52">
        <f t="shared" ca="1" si="8"/>
        <v>26.3</v>
      </c>
      <c r="Q64" s="56" t="s">
        <v>456</v>
      </c>
      <c r="R64">
        <f t="shared" ca="1" si="9"/>
        <v>3.8</v>
      </c>
      <c r="S64" s="54">
        <v>1</v>
      </c>
      <c r="T64" s="42">
        <f t="shared" ca="1" si="10"/>
        <v>26.3</v>
      </c>
      <c r="U64">
        <f t="shared" ca="1" si="11"/>
        <v>0</v>
      </c>
      <c r="V64" s="8"/>
      <c r="W64" s="90"/>
      <c r="X64" s="54"/>
      <c r="Y64">
        <f t="shared" ca="1" si="12"/>
        <v>0</v>
      </c>
      <c r="Z64" s="117"/>
      <c r="AA64" s="117">
        <f t="shared" ca="1" si="13"/>
        <v>0</v>
      </c>
      <c r="AB64" s="117">
        <f>LOOKUP(I64,'Pattern lookup'!$A$4:$A$21,'Pattern lookup'!$H$4:$H$21)*X64</f>
        <v>0</v>
      </c>
    </row>
    <row r="65" spans="1:28" ht="15" customHeight="1" x14ac:dyDescent="0.2">
      <c r="A65" s="91">
        <v>1</v>
      </c>
      <c r="B65" s="47" t="s">
        <v>254</v>
      </c>
      <c r="C65" s="47" t="s">
        <v>259</v>
      </c>
      <c r="D65" s="8" t="s">
        <v>156</v>
      </c>
      <c r="E65" s="8" t="s">
        <v>157</v>
      </c>
      <c r="F65" s="114" t="s">
        <v>108</v>
      </c>
      <c r="G65" s="8" t="s">
        <v>100</v>
      </c>
      <c r="H65" s="8" t="s">
        <v>87</v>
      </c>
      <c r="I65" s="14" t="s">
        <v>47</v>
      </c>
      <c r="J65" s="69">
        <f>LOOKUP(I65,'Pattern lookup'!$A$4:$A$21,'Pattern lookup'!$F$4:$F$21)</f>
        <v>15</v>
      </c>
      <c r="K65" s="54">
        <v>90</v>
      </c>
      <c r="L65" s="13">
        <f ca="1">LOOKUP(I65,'Pattern lookup'!$A$4:$A$29,'Pattern lookup'!$C$4:$C$17)</f>
        <v>164</v>
      </c>
      <c r="M65" s="9">
        <f ca="1">LOOKUP(I65,'Pattern lookup'!$A$4:$A$29,'Pattern lookup'!$D$4:$D$17)</f>
        <v>34.5</v>
      </c>
      <c r="N65" s="9">
        <f ca="1">LOOKUP(I65,'Pattern lookup'!$A$4:$A$29,'Pattern lookup'!$E$4:$E$17)</f>
        <v>0.7</v>
      </c>
      <c r="O65" s="42">
        <f t="shared" si="7"/>
        <v>6</v>
      </c>
      <c r="P65" s="52">
        <f t="shared" ca="1" si="8"/>
        <v>434</v>
      </c>
      <c r="Q65" s="56" t="s">
        <v>462</v>
      </c>
      <c r="R65">
        <f t="shared" ca="1" si="9"/>
        <v>227</v>
      </c>
      <c r="S65" s="54">
        <v>1</v>
      </c>
      <c r="T65" s="42">
        <f t="shared" ca="1" si="10"/>
        <v>261.5</v>
      </c>
      <c r="U65">
        <f t="shared" ca="1" si="11"/>
        <v>172.5</v>
      </c>
      <c r="V65" s="92"/>
      <c r="W65" s="90"/>
      <c r="X65" s="54">
        <v>5</v>
      </c>
      <c r="Y65">
        <f t="shared" ca="1" si="12"/>
        <v>0</v>
      </c>
      <c r="Z65" s="117"/>
      <c r="AA65" s="117">
        <f t="shared" ca="1" si="13"/>
        <v>172.5</v>
      </c>
      <c r="AB65" s="117">
        <f>LOOKUP(I65,'Pattern lookup'!$A$4:$A$21,'Pattern lookup'!$H$4:$H$21)*X65</f>
        <v>60</v>
      </c>
    </row>
    <row r="66" spans="1:28" ht="15" customHeight="1" x14ac:dyDescent="0.2">
      <c r="A66" s="91">
        <v>1</v>
      </c>
      <c r="B66" s="47" t="s">
        <v>254</v>
      </c>
      <c r="C66" s="47" t="s">
        <v>259</v>
      </c>
      <c r="D66" s="8" t="s">
        <v>156</v>
      </c>
      <c r="E66" s="8" t="s">
        <v>157</v>
      </c>
      <c r="F66" s="114" t="s">
        <v>108</v>
      </c>
      <c r="G66" s="8" t="s">
        <v>100</v>
      </c>
      <c r="H66" s="8" t="s">
        <v>88</v>
      </c>
      <c r="I66" s="14" t="s">
        <v>48</v>
      </c>
      <c r="J66" s="69">
        <f>LOOKUP(I66,'Pattern lookup'!$A$4:$A$21,'Pattern lookup'!$F$4:$F$21)</f>
        <v>15</v>
      </c>
      <c r="K66" s="54">
        <v>20</v>
      </c>
      <c r="L66" s="13">
        <f ca="1">LOOKUP(I66,'Pattern lookup'!$A$4:$A$29,'Pattern lookup'!$C$4:$C$17)</f>
        <v>2</v>
      </c>
      <c r="M66" s="9">
        <f ca="1">LOOKUP(I66,'Pattern lookup'!$A$4:$A$29,'Pattern lookup'!$D$4:$D$17)</f>
        <v>22.5</v>
      </c>
      <c r="N66" s="9">
        <f ca="1">LOOKUP(I66,'Pattern lookup'!$A$4:$A$29,'Pattern lookup'!$E$4:$E$17)</f>
        <v>0.6</v>
      </c>
      <c r="O66" s="42">
        <f t="shared" si="7"/>
        <v>2</v>
      </c>
      <c r="P66" s="52">
        <f t="shared" ca="1" si="8"/>
        <v>59</v>
      </c>
      <c r="Q66" s="56" t="s">
        <v>462</v>
      </c>
      <c r="R66">
        <f t="shared" ca="1" si="9"/>
        <v>14</v>
      </c>
      <c r="S66" s="54"/>
      <c r="T66" s="42">
        <f t="shared" ca="1" si="10"/>
        <v>14</v>
      </c>
      <c r="U66">
        <f t="shared" ca="1" si="11"/>
        <v>45</v>
      </c>
      <c r="V66" s="8"/>
      <c r="W66" s="90"/>
      <c r="X66" s="54">
        <v>2</v>
      </c>
      <c r="Y66">
        <f t="shared" ca="1" si="12"/>
        <v>0</v>
      </c>
      <c r="Z66" s="117"/>
      <c r="AA66" s="117">
        <f t="shared" ca="1" si="13"/>
        <v>45</v>
      </c>
      <c r="AB66" s="117">
        <f>LOOKUP(I66,'Pattern lookup'!$A$4:$A$21,'Pattern lookup'!$H$4:$H$21)*X66</f>
        <v>24</v>
      </c>
    </row>
    <row r="67" spans="1:28" ht="15" hidden="1" customHeight="1" x14ac:dyDescent="0.2">
      <c r="A67" s="91">
        <v>0</v>
      </c>
      <c r="B67" s="47" t="s">
        <v>255</v>
      </c>
      <c r="C67" s="47" t="s">
        <v>259</v>
      </c>
      <c r="D67" s="8" t="s">
        <v>156</v>
      </c>
      <c r="E67" s="8" t="s">
        <v>157</v>
      </c>
      <c r="F67" s="99" t="s">
        <v>424</v>
      </c>
      <c r="G67" s="8" t="s">
        <v>101</v>
      </c>
      <c r="H67" s="8" t="s">
        <v>87</v>
      </c>
      <c r="I67" s="14" t="s">
        <v>426</v>
      </c>
      <c r="J67" s="69">
        <f>LOOKUP(I67,'Pattern lookup'!$A$4:$A$21,'Pattern lookup'!$F$4:$F$21)</f>
        <v>0</v>
      </c>
      <c r="K67" s="54">
        <v>20</v>
      </c>
      <c r="L67" s="13">
        <f ca="1">LOOKUP(I67,'Pattern lookup'!$A$4:$A$29,'Pattern lookup'!$C$4:$C$17)</f>
        <v>37</v>
      </c>
      <c r="M67" s="9">
        <f ca="1">LOOKUP(I67,'Pattern lookup'!$A$4:$A$29,'Pattern lookup'!$D$4:$D$17)</f>
        <v>0</v>
      </c>
      <c r="N67" s="9">
        <f ca="1">LOOKUP(I67,'Pattern lookup'!$A$4:$A$29,'Pattern lookup'!$E$4:$E$17)</f>
        <v>0.35</v>
      </c>
      <c r="O67" s="42">
        <f t="shared" si="7"/>
        <v>0</v>
      </c>
      <c r="P67" s="52">
        <f t="shared" si="8"/>
        <v>0</v>
      </c>
      <c r="Q67" s="56" t="s">
        <v>301</v>
      </c>
      <c r="R67">
        <f t="shared" si="9"/>
        <v>0</v>
      </c>
      <c r="S67" s="54"/>
      <c r="T67" s="42">
        <f t="shared" ca="1" si="10"/>
        <v>0</v>
      </c>
      <c r="U67">
        <f t="shared" ca="1" si="11"/>
        <v>0</v>
      </c>
      <c r="V67" s="8"/>
      <c r="W67" s="90"/>
      <c r="X67" s="54"/>
      <c r="Y67">
        <f t="shared" ca="1" si="12"/>
        <v>0</v>
      </c>
      <c r="Z67" s="117"/>
      <c r="AA67" s="117">
        <f t="shared" ca="1" si="13"/>
        <v>0</v>
      </c>
      <c r="AB67" s="117">
        <f>LOOKUP(I67,'Pattern lookup'!$A$4:$A$21,'Pattern lookup'!$H$4:$H$21)*X67</f>
        <v>0</v>
      </c>
    </row>
    <row r="68" spans="1:28" ht="15" customHeight="1" x14ac:dyDescent="0.2">
      <c r="A68" s="91">
        <v>1</v>
      </c>
      <c r="B68" s="47" t="s">
        <v>255</v>
      </c>
      <c r="C68" s="47" t="s">
        <v>259</v>
      </c>
      <c r="D68" s="8" t="s">
        <v>156</v>
      </c>
      <c r="E68" s="8" t="s">
        <v>157</v>
      </c>
      <c r="F68" s="42" t="s">
        <v>445</v>
      </c>
      <c r="G68" s="8" t="s">
        <v>142</v>
      </c>
      <c r="H68" s="8" t="s">
        <v>87</v>
      </c>
      <c r="I68" s="14" t="s">
        <v>58</v>
      </c>
      <c r="J68" s="69">
        <f>LOOKUP(I68,'Pattern lookup'!$A$4:$A$21,'Pattern lookup'!$F$4:$F$21)</f>
        <v>0</v>
      </c>
      <c r="K68" s="54">
        <v>40</v>
      </c>
      <c r="L68" s="13">
        <f ca="1">LOOKUP(I68,'Pattern lookup'!$A$4:$A$29,'Pattern lookup'!$C$4:$C$17)</f>
        <v>35</v>
      </c>
      <c r="M68" s="9">
        <f ca="1">LOOKUP(I68,'Pattern lookup'!$A$4:$A$29,'Pattern lookup'!$D$4:$D$17)</f>
        <v>0</v>
      </c>
      <c r="N68" s="9">
        <f ca="1">LOOKUP(I68,'Pattern lookup'!$A$4:$A$29,'Pattern lookup'!$E$4:$E$17)</f>
        <v>0.6</v>
      </c>
      <c r="O68" s="42">
        <f t="shared" si="7"/>
        <v>0</v>
      </c>
      <c r="P68" s="52">
        <f t="shared" ca="1" si="8"/>
        <v>59</v>
      </c>
      <c r="Q68" s="56" t="s">
        <v>462</v>
      </c>
      <c r="R68">
        <f t="shared" ca="1" si="9"/>
        <v>59</v>
      </c>
      <c r="S68" s="54"/>
      <c r="T68" s="42">
        <f t="shared" ca="1" si="10"/>
        <v>59</v>
      </c>
      <c r="U68">
        <f t="shared" ca="1" si="11"/>
        <v>0</v>
      </c>
      <c r="V68" s="8"/>
      <c r="W68" s="90"/>
      <c r="X68" s="54"/>
      <c r="Y68">
        <f t="shared" ca="1" si="12"/>
        <v>0</v>
      </c>
      <c r="Z68" s="117"/>
      <c r="AA68" s="117">
        <f t="shared" ca="1" si="13"/>
        <v>0</v>
      </c>
      <c r="AB68" s="117">
        <f>LOOKUP(I68,'Pattern lookup'!$A$4:$A$21,'Pattern lookup'!$H$4:$H$21)*X68</f>
        <v>0</v>
      </c>
    </row>
    <row r="69" spans="1:28" ht="15" customHeight="1" x14ac:dyDescent="0.2">
      <c r="A69" s="91">
        <v>1</v>
      </c>
      <c r="B69" s="47" t="s">
        <v>255</v>
      </c>
      <c r="C69" s="47" t="s">
        <v>259</v>
      </c>
      <c r="D69" s="8" t="s">
        <v>156</v>
      </c>
      <c r="E69" s="8" t="s">
        <v>157</v>
      </c>
      <c r="F69" s="94" t="s">
        <v>469</v>
      </c>
      <c r="G69" s="8" t="s">
        <v>142</v>
      </c>
      <c r="H69" s="8" t="s">
        <v>87</v>
      </c>
      <c r="I69" s="14" t="s">
        <v>58</v>
      </c>
      <c r="J69" s="69">
        <f>LOOKUP(I69,'Pattern lookup'!$A$4:$A$21,'Pattern lookup'!$F$4:$F$21)</f>
        <v>0</v>
      </c>
      <c r="K69" s="54">
        <v>40</v>
      </c>
      <c r="L69" s="13">
        <f ca="1">LOOKUP(I69,'Pattern lookup'!$A$4:$A$29,'Pattern lookup'!$C$4:$C$17)</f>
        <v>35</v>
      </c>
      <c r="M69" s="9">
        <f ca="1">LOOKUP(I69,'Pattern lookup'!$A$4:$A$29,'Pattern lookup'!$D$4:$D$17)</f>
        <v>0</v>
      </c>
      <c r="N69" s="9">
        <f ca="1">LOOKUP(I69,'Pattern lookup'!$A$4:$A$29,'Pattern lookup'!$E$4:$E$17)</f>
        <v>0.6</v>
      </c>
      <c r="O69" s="42">
        <f t="shared" si="7"/>
        <v>0</v>
      </c>
      <c r="P69" s="52">
        <f t="shared" ca="1" si="8"/>
        <v>59</v>
      </c>
      <c r="Q69" s="56" t="s">
        <v>457</v>
      </c>
      <c r="R69">
        <f t="shared" ca="1" si="9"/>
        <v>59</v>
      </c>
      <c r="S69" s="54"/>
      <c r="T69" s="41">
        <f t="shared" ca="1" si="10"/>
        <v>59</v>
      </c>
      <c r="U69">
        <f t="shared" ca="1" si="11"/>
        <v>0</v>
      </c>
      <c r="V69" s="8"/>
      <c r="W69" s="90"/>
      <c r="X69" s="54"/>
      <c r="Y69">
        <f t="shared" ca="1" si="12"/>
        <v>0</v>
      </c>
      <c r="Z69" s="117"/>
      <c r="AA69" s="117">
        <f t="shared" ca="1" si="13"/>
        <v>0</v>
      </c>
      <c r="AB69" s="117">
        <f>LOOKUP(I69,'Pattern lookup'!$A$4:$A$21,'Pattern lookup'!$H$4:$H$21)*X69</f>
        <v>0</v>
      </c>
    </row>
    <row r="70" spans="1:28" ht="15" hidden="1" customHeight="1" x14ac:dyDescent="0.2">
      <c r="A70" s="91">
        <v>0</v>
      </c>
      <c r="B70" s="47" t="s">
        <v>255</v>
      </c>
      <c r="C70" s="47" t="s">
        <v>259</v>
      </c>
      <c r="D70" s="8" t="s">
        <v>156</v>
      </c>
      <c r="E70" s="8" t="s">
        <v>157</v>
      </c>
      <c r="F70" s="95" t="s">
        <v>144</v>
      </c>
      <c r="G70" s="8" t="s">
        <v>142</v>
      </c>
      <c r="H70" s="8" t="s">
        <v>87</v>
      </c>
      <c r="I70" s="14" t="s">
        <v>58</v>
      </c>
      <c r="J70" s="69">
        <f>LOOKUP(I70,'Pattern lookup'!$A$4:$A$21,'Pattern lookup'!$F$4:$F$21)</f>
        <v>0</v>
      </c>
      <c r="K70" s="54">
        <v>40</v>
      </c>
      <c r="L70" s="13">
        <f ca="1">LOOKUP(I70,'Pattern lookup'!$A$4:$A$29,'Pattern lookup'!$C$4:$C$17)</f>
        <v>35</v>
      </c>
      <c r="M70" s="9">
        <f ca="1">LOOKUP(I70,'Pattern lookup'!$A$4:$A$29,'Pattern lookup'!$D$4:$D$17)</f>
        <v>0</v>
      </c>
      <c r="N70" s="9">
        <f ca="1">LOOKUP(I70,'Pattern lookup'!$A$4:$A$29,'Pattern lookup'!$E$4:$E$17)</f>
        <v>0.6</v>
      </c>
      <c r="O70" s="42">
        <f t="shared" si="7"/>
        <v>0</v>
      </c>
      <c r="P70" s="52">
        <f t="shared" si="8"/>
        <v>0</v>
      </c>
      <c r="Q70" s="55" t="s">
        <v>301</v>
      </c>
      <c r="R70">
        <f t="shared" si="9"/>
        <v>0</v>
      </c>
      <c r="S70" s="54"/>
      <c r="T70" s="42">
        <f t="shared" ca="1" si="10"/>
        <v>0</v>
      </c>
      <c r="U70">
        <f t="shared" ca="1" si="11"/>
        <v>0</v>
      </c>
      <c r="V70" s="8"/>
      <c r="W70" s="90"/>
      <c r="X70" s="54"/>
      <c r="Y70">
        <f t="shared" ca="1" si="12"/>
        <v>0</v>
      </c>
      <c r="Z70" s="117"/>
      <c r="AA70" s="117">
        <f t="shared" ca="1" si="13"/>
        <v>0</v>
      </c>
      <c r="AB70" s="117">
        <f>LOOKUP(I70,'Pattern lookup'!$A$4:$A$21,'Pattern lookup'!$H$4:$H$21)*X70</f>
        <v>0</v>
      </c>
    </row>
    <row r="71" spans="1:28" ht="15" hidden="1" customHeight="1" x14ac:dyDescent="0.2">
      <c r="A71" s="91">
        <v>0</v>
      </c>
      <c r="B71" s="47" t="s">
        <v>255</v>
      </c>
      <c r="C71" s="47" t="s">
        <v>259</v>
      </c>
      <c r="D71" s="8" t="s">
        <v>156</v>
      </c>
      <c r="E71" s="8" t="s">
        <v>157</v>
      </c>
      <c r="F71" s="97" t="s">
        <v>172</v>
      </c>
      <c r="G71" s="8" t="s">
        <v>146</v>
      </c>
      <c r="H71" s="8" t="s">
        <v>87</v>
      </c>
      <c r="I71" s="14" t="s">
        <v>58</v>
      </c>
      <c r="J71" s="69">
        <f>LOOKUP(I71,'Pattern lookup'!$A$4:$A$21,'Pattern lookup'!$F$4:$F$21)</f>
        <v>0</v>
      </c>
      <c r="K71" s="54">
        <v>40</v>
      </c>
      <c r="L71" s="13">
        <f ca="1">LOOKUP(I71,'Pattern lookup'!$A$4:$A$29,'Pattern lookup'!$C$4:$C$17)</f>
        <v>35</v>
      </c>
      <c r="M71" s="9">
        <f ca="1">LOOKUP(I71,'Pattern lookup'!$A$4:$A$29,'Pattern lookup'!$D$4:$D$17)</f>
        <v>0</v>
      </c>
      <c r="N71" s="9">
        <f ca="1">LOOKUP(I71,'Pattern lookup'!$A$4:$A$29,'Pattern lookup'!$E$4:$E$17)</f>
        <v>0.6</v>
      </c>
      <c r="O71" s="42">
        <f t="shared" si="7"/>
        <v>0</v>
      </c>
      <c r="P71" s="52">
        <f t="shared" si="8"/>
        <v>0</v>
      </c>
      <c r="Q71" s="55" t="s">
        <v>301</v>
      </c>
      <c r="R71">
        <f t="shared" si="9"/>
        <v>0</v>
      </c>
      <c r="S71" s="54"/>
      <c r="T71" s="42">
        <f t="shared" ca="1" si="10"/>
        <v>0</v>
      </c>
      <c r="U71">
        <f t="shared" ca="1" si="11"/>
        <v>0</v>
      </c>
      <c r="V71" s="8"/>
      <c r="W71" s="90"/>
      <c r="X71" s="54"/>
      <c r="Y71">
        <f t="shared" ca="1" si="12"/>
        <v>0</v>
      </c>
      <c r="Z71" s="117"/>
      <c r="AA71" s="117">
        <f t="shared" ca="1" si="13"/>
        <v>0</v>
      </c>
      <c r="AB71" s="117">
        <f>LOOKUP(I71,'Pattern lookup'!$A$4:$A$21,'Pattern lookup'!$H$4:$H$21)*X71</f>
        <v>0</v>
      </c>
    </row>
    <row r="72" spans="1:28" ht="15" hidden="1" customHeight="1" x14ac:dyDescent="0.2">
      <c r="A72" s="91">
        <v>0</v>
      </c>
      <c r="B72" s="47" t="s">
        <v>254</v>
      </c>
      <c r="C72" s="47" t="s">
        <v>259</v>
      </c>
      <c r="D72" s="8" t="s">
        <v>156</v>
      </c>
      <c r="E72" s="8" t="s">
        <v>157</v>
      </c>
      <c r="F72" s="114" t="s">
        <v>108</v>
      </c>
      <c r="G72" s="8" t="s">
        <v>107</v>
      </c>
      <c r="H72" s="8" t="s">
        <v>87</v>
      </c>
      <c r="I72" s="14" t="s">
        <v>56</v>
      </c>
      <c r="J72" s="69">
        <f>LOOKUP(I72,'Pattern lookup'!$A$4:$A$21,'Pattern lookup'!$F$4:$F$21)</f>
        <v>15</v>
      </c>
      <c r="K72" s="54">
        <v>10</v>
      </c>
      <c r="L72" s="13">
        <f ca="1">LOOKUP(I72,'Pattern lookup'!$A$4:$A$29,'Pattern lookup'!$C$4:$C$17)</f>
        <v>29</v>
      </c>
      <c r="M72" s="9">
        <f ca="1">LOOKUP(I72,'Pattern lookup'!$A$4:$A$29,'Pattern lookup'!$D$4:$D$17)</f>
        <v>34.5</v>
      </c>
      <c r="N72" s="9">
        <f ca="1">LOOKUP(I72,'Pattern lookup'!$A$4:$A$29,'Pattern lookup'!$E$4:$E$17)</f>
        <v>0.7</v>
      </c>
      <c r="O72" s="42">
        <f t="shared" si="7"/>
        <v>1</v>
      </c>
      <c r="P72" s="52">
        <f t="shared" si="8"/>
        <v>0</v>
      </c>
      <c r="Q72" s="55" t="s">
        <v>301</v>
      </c>
      <c r="R72">
        <f t="shared" si="9"/>
        <v>0</v>
      </c>
      <c r="S72" s="54"/>
      <c r="T72" s="42">
        <f t="shared" ca="1" si="10"/>
        <v>0</v>
      </c>
      <c r="U72">
        <f t="shared" ca="1" si="11"/>
        <v>0</v>
      </c>
      <c r="V72" s="92"/>
      <c r="W72" s="90"/>
      <c r="X72" s="54"/>
      <c r="Y72">
        <f t="shared" ca="1" si="12"/>
        <v>0</v>
      </c>
      <c r="Z72" s="117"/>
      <c r="AA72" s="117">
        <f t="shared" ca="1" si="13"/>
        <v>0</v>
      </c>
      <c r="AB72" s="117">
        <f>LOOKUP(I72,'Pattern lookup'!$A$4:$A$21,'Pattern lookup'!$H$4:$H$21)*X72</f>
        <v>0</v>
      </c>
    </row>
    <row r="73" spans="1:28" x14ac:dyDescent="0.2">
      <c r="A73" s="91">
        <v>1</v>
      </c>
      <c r="B73" s="47" t="s">
        <v>254</v>
      </c>
      <c r="C73" s="47" t="s">
        <v>259</v>
      </c>
      <c r="D73" s="8" t="s">
        <v>158</v>
      </c>
      <c r="E73" s="8" t="s">
        <v>159</v>
      </c>
      <c r="F73" s="114" t="s">
        <v>108</v>
      </c>
      <c r="G73" s="8" t="s">
        <v>100</v>
      </c>
      <c r="H73" s="8" t="s">
        <v>87</v>
      </c>
      <c r="I73" s="14" t="s">
        <v>47</v>
      </c>
      <c r="J73" s="69">
        <f>LOOKUP(I73,'Pattern lookup'!$A$4:$A$21,'Pattern lookup'!$F$4:$F$21)</f>
        <v>15</v>
      </c>
      <c r="K73" s="54">
        <v>26</v>
      </c>
      <c r="L73" s="13">
        <f ca="1">LOOKUP(I73,'Pattern lookup'!$A$4:$A$29,'Pattern lookup'!$C$4:$C$17)</f>
        <v>164</v>
      </c>
      <c r="M73" s="9">
        <f ca="1">LOOKUP(I73,'Pattern lookup'!$A$4:$A$29,'Pattern lookup'!$D$4:$D$17)</f>
        <v>34.5</v>
      </c>
      <c r="N73" s="9">
        <f ca="1">LOOKUP(I73,'Pattern lookup'!$A$4:$A$29,'Pattern lookup'!$E$4:$E$17)</f>
        <v>0.7</v>
      </c>
      <c r="O73" s="42">
        <f t="shared" si="7"/>
        <v>2</v>
      </c>
      <c r="P73" s="52">
        <f t="shared" ca="1" si="8"/>
        <v>251.2</v>
      </c>
      <c r="Q73" s="56" t="s">
        <v>462</v>
      </c>
      <c r="R73">
        <f t="shared" ca="1" si="9"/>
        <v>182.2</v>
      </c>
      <c r="S73" s="54">
        <v>2</v>
      </c>
      <c r="T73" s="42">
        <f t="shared" ca="1" si="10"/>
        <v>251.2</v>
      </c>
      <c r="U73">
        <f t="shared" ca="1" si="11"/>
        <v>0</v>
      </c>
      <c r="V73" s="8"/>
      <c r="W73" s="90"/>
      <c r="X73" s="54"/>
      <c r="Y73">
        <f t="shared" ca="1" si="12"/>
        <v>0</v>
      </c>
      <c r="Z73" s="117"/>
      <c r="AA73" s="117">
        <f t="shared" ca="1" si="13"/>
        <v>0</v>
      </c>
      <c r="AB73" s="117">
        <f>LOOKUP(I73,'Pattern lookup'!$A$4:$A$21,'Pattern lookup'!$H$4:$H$21)*X73</f>
        <v>0</v>
      </c>
    </row>
    <row r="74" spans="1:28" x14ac:dyDescent="0.2">
      <c r="A74" s="91">
        <v>1</v>
      </c>
      <c r="B74" s="47" t="s">
        <v>254</v>
      </c>
      <c r="C74" s="47" t="s">
        <v>259</v>
      </c>
      <c r="D74" s="8" t="s">
        <v>158</v>
      </c>
      <c r="E74" s="8" t="s">
        <v>159</v>
      </c>
      <c r="F74" s="114" t="s">
        <v>108</v>
      </c>
      <c r="G74" s="8" t="s">
        <v>100</v>
      </c>
      <c r="H74" s="8" t="s">
        <v>88</v>
      </c>
      <c r="I74" s="14" t="s">
        <v>48</v>
      </c>
      <c r="J74" s="69">
        <f>LOOKUP(I74,'Pattern lookup'!$A$4:$A$21,'Pattern lookup'!$F$4:$F$21)</f>
        <v>15</v>
      </c>
      <c r="K74" s="54">
        <v>5</v>
      </c>
      <c r="L74" s="13">
        <f ca="1">LOOKUP(I74,'Pattern lookup'!$A$4:$A$29,'Pattern lookup'!$C$4:$C$17)</f>
        <v>2</v>
      </c>
      <c r="M74" s="9">
        <f ca="1">LOOKUP(I74,'Pattern lookup'!$A$4:$A$29,'Pattern lookup'!$D$4:$D$17)</f>
        <v>22.5</v>
      </c>
      <c r="N74" s="9">
        <f ca="1">LOOKUP(I74,'Pattern lookup'!$A$4:$A$29,'Pattern lookup'!$E$4:$E$17)</f>
        <v>0.6</v>
      </c>
      <c r="O74" s="42">
        <f t="shared" si="7"/>
        <v>1</v>
      </c>
      <c r="P74" s="52">
        <f t="shared" ca="1" si="8"/>
        <v>27.5</v>
      </c>
      <c r="Q74" s="56" t="s">
        <v>462</v>
      </c>
      <c r="R74">
        <f t="shared" ca="1" si="9"/>
        <v>5</v>
      </c>
      <c r="S74" s="54">
        <v>1</v>
      </c>
      <c r="T74" s="42">
        <f t="shared" ca="1" si="10"/>
        <v>27.5</v>
      </c>
      <c r="U74">
        <f t="shared" ca="1" si="11"/>
        <v>0</v>
      </c>
      <c r="V74" s="8"/>
      <c r="W74" s="90"/>
      <c r="X74" s="54"/>
      <c r="Y74">
        <f t="shared" ca="1" si="12"/>
        <v>0</v>
      </c>
      <c r="Z74" s="117"/>
      <c r="AA74" s="117">
        <f t="shared" ca="1" si="13"/>
        <v>0</v>
      </c>
      <c r="AB74" s="117">
        <f>LOOKUP(I74,'Pattern lookup'!$A$4:$A$21,'Pattern lookup'!$H$4:$H$21)*X74</f>
        <v>0</v>
      </c>
    </row>
    <row r="75" spans="1:28" ht="15" customHeight="1" x14ac:dyDescent="0.2">
      <c r="A75" s="91">
        <v>1</v>
      </c>
      <c r="B75" s="47" t="s">
        <v>254</v>
      </c>
      <c r="C75" s="47" t="s">
        <v>259</v>
      </c>
      <c r="D75" s="8" t="s">
        <v>160</v>
      </c>
      <c r="E75" s="8" t="s">
        <v>161</v>
      </c>
      <c r="F75" s="114" t="s">
        <v>108</v>
      </c>
      <c r="G75" s="8" t="s">
        <v>100</v>
      </c>
      <c r="H75" s="8" t="s">
        <v>87</v>
      </c>
      <c r="I75" s="14" t="s">
        <v>47</v>
      </c>
      <c r="J75" s="69">
        <f>LOOKUP(I75,'Pattern lookup'!$A$4:$A$21,'Pattern lookup'!$F$4:$F$21)</f>
        <v>15</v>
      </c>
      <c r="K75" s="54">
        <v>42</v>
      </c>
      <c r="L75" s="13">
        <f ca="1">LOOKUP(I75,'Pattern lookup'!$A$4:$A$29,'Pattern lookup'!$C$4:$C$17)</f>
        <v>164</v>
      </c>
      <c r="M75" s="9">
        <f ca="1">LOOKUP(I75,'Pattern lookup'!$A$4:$A$29,'Pattern lookup'!$D$4:$D$17)</f>
        <v>34.5</v>
      </c>
      <c r="N75" s="9">
        <f ca="1">LOOKUP(I75,'Pattern lookup'!$A$4:$A$29,'Pattern lookup'!$E$4:$E$17)</f>
        <v>0.7</v>
      </c>
      <c r="O75" s="42">
        <f t="shared" si="7"/>
        <v>3</v>
      </c>
      <c r="P75" s="52">
        <f t="shared" ca="1" si="8"/>
        <v>296.89999999999998</v>
      </c>
      <c r="Q75" s="56" t="s">
        <v>461</v>
      </c>
      <c r="R75">
        <f t="shared" ca="1" si="9"/>
        <v>193.4</v>
      </c>
      <c r="S75" s="54">
        <v>3</v>
      </c>
      <c r="T75" s="42">
        <f t="shared" ca="1" si="10"/>
        <v>296.89999999999998</v>
      </c>
      <c r="U75">
        <f t="shared" ca="1" si="11"/>
        <v>0</v>
      </c>
      <c r="V75" s="8"/>
      <c r="W75" s="90"/>
      <c r="X75" s="54"/>
      <c r="Y75">
        <f t="shared" ca="1" si="12"/>
        <v>0</v>
      </c>
      <c r="Z75" s="117"/>
      <c r="AA75" s="117">
        <f t="shared" ca="1" si="13"/>
        <v>0</v>
      </c>
      <c r="AB75" s="117">
        <f>LOOKUP(I75,'Pattern lookup'!$A$4:$A$21,'Pattern lookup'!$H$4:$H$21)*X75</f>
        <v>0</v>
      </c>
    </row>
    <row r="76" spans="1:28" ht="15" customHeight="1" x14ac:dyDescent="0.2">
      <c r="A76" s="91">
        <v>1</v>
      </c>
      <c r="B76" s="47" t="s">
        <v>254</v>
      </c>
      <c r="C76" s="47" t="s">
        <v>259</v>
      </c>
      <c r="D76" s="8" t="s">
        <v>160</v>
      </c>
      <c r="E76" s="8" t="s">
        <v>161</v>
      </c>
      <c r="F76" s="114" t="s">
        <v>108</v>
      </c>
      <c r="G76" s="8" t="s">
        <v>100</v>
      </c>
      <c r="H76" s="8" t="s">
        <v>88</v>
      </c>
      <c r="I76" s="14" t="s">
        <v>48</v>
      </c>
      <c r="J76" s="69">
        <f>LOOKUP(I76,'Pattern lookup'!$A$4:$A$21,'Pattern lookup'!$F$4:$F$21)</f>
        <v>15</v>
      </c>
      <c r="K76" s="54">
        <v>5</v>
      </c>
      <c r="L76" s="13">
        <f ca="1">LOOKUP(I76,'Pattern lookup'!$A$4:$A$29,'Pattern lookup'!$C$4:$C$17)</f>
        <v>2</v>
      </c>
      <c r="M76" s="9">
        <f ca="1">LOOKUP(I76,'Pattern lookup'!$A$4:$A$29,'Pattern lookup'!$D$4:$D$17)</f>
        <v>22.5</v>
      </c>
      <c r="N76" s="9">
        <f ca="1">LOOKUP(I76,'Pattern lookup'!$A$4:$A$29,'Pattern lookup'!$E$4:$E$17)</f>
        <v>0.6</v>
      </c>
      <c r="O76" s="42">
        <f t="shared" si="7"/>
        <v>1</v>
      </c>
      <c r="P76" s="52">
        <f t="shared" ca="1" si="8"/>
        <v>27.5</v>
      </c>
      <c r="Q76" s="56" t="s">
        <v>461</v>
      </c>
      <c r="R76">
        <f t="shared" ca="1" si="9"/>
        <v>5</v>
      </c>
      <c r="S76" s="54">
        <v>1</v>
      </c>
      <c r="T76" s="42">
        <f t="shared" ca="1" si="10"/>
        <v>27.5</v>
      </c>
      <c r="U76">
        <f t="shared" ca="1" si="11"/>
        <v>0</v>
      </c>
      <c r="V76" s="8"/>
      <c r="W76" s="90"/>
      <c r="X76" s="54"/>
      <c r="Y76">
        <f t="shared" ca="1" si="12"/>
        <v>0</v>
      </c>
      <c r="Z76" s="117"/>
      <c r="AA76" s="117">
        <f t="shared" ca="1" si="13"/>
        <v>0</v>
      </c>
      <c r="AB76" s="117">
        <f>LOOKUP(I76,'Pattern lookup'!$A$4:$A$21,'Pattern lookup'!$H$4:$H$21)*X76</f>
        <v>0</v>
      </c>
    </row>
    <row r="77" spans="1:28" ht="15" customHeight="1" x14ac:dyDescent="0.2">
      <c r="A77" s="91">
        <v>1</v>
      </c>
      <c r="B77" s="47" t="s">
        <v>254</v>
      </c>
      <c r="C77" s="47" t="s">
        <v>259</v>
      </c>
      <c r="D77" s="8" t="s">
        <v>162</v>
      </c>
      <c r="E77" s="8" t="s">
        <v>163</v>
      </c>
      <c r="F77" s="93" t="s">
        <v>99</v>
      </c>
      <c r="G77" s="8" t="s">
        <v>100</v>
      </c>
      <c r="H77" s="8" t="s">
        <v>87</v>
      </c>
      <c r="I77" s="14" t="s">
        <v>47</v>
      </c>
      <c r="J77" s="69">
        <f>LOOKUP(I77,'Pattern lookup'!$A$4:$A$21,'Pattern lookup'!$F$4:$F$21)</f>
        <v>15</v>
      </c>
      <c r="K77" s="54">
        <v>14</v>
      </c>
      <c r="L77" s="13">
        <f ca="1">LOOKUP(I77,'Pattern lookup'!$A$4:$A$29,'Pattern lookup'!$C$4:$C$17)</f>
        <v>164</v>
      </c>
      <c r="M77" s="9">
        <f ca="1">LOOKUP(I77,'Pattern lookup'!$A$4:$A$29,'Pattern lookup'!$D$4:$D$17)</f>
        <v>34.5</v>
      </c>
      <c r="N77" s="9">
        <f ca="1">LOOKUP(I77,'Pattern lookup'!$A$4:$A$29,'Pattern lookup'!$E$4:$E$17)</f>
        <v>0.7</v>
      </c>
      <c r="O77" s="42">
        <f t="shared" si="7"/>
        <v>1</v>
      </c>
      <c r="P77" s="52">
        <f t="shared" ca="1" si="8"/>
        <v>208.3</v>
      </c>
      <c r="Q77" s="56" t="s">
        <v>461</v>
      </c>
      <c r="R77">
        <f t="shared" ca="1" si="9"/>
        <v>173.8</v>
      </c>
      <c r="S77" s="54">
        <v>1</v>
      </c>
      <c r="T77" s="42">
        <f t="shared" ca="1" si="10"/>
        <v>208.3</v>
      </c>
      <c r="U77">
        <f t="shared" ca="1" si="11"/>
        <v>0</v>
      </c>
      <c r="V77" s="8"/>
      <c r="W77" s="90"/>
      <c r="X77" s="54"/>
      <c r="Y77">
        <f t="shared" ca="1" si="12"/>
        <v>0</v>
      </c>
      <c r="Z77" s="117"/>
      <c r="AA77" s="117">
        <f t="shared" ca="1" si="13"/>
        <v>0</v>
      </c>
      <c r="AB77" s="117">
        <f>LOOKUP(I77,'Pattern lookup'!$A$4:$A$21,'Pattern lookup'!$H$4:$H$21)*X77</f>
        <v>0</v>
      </c>
    </row>
    <row r="78" spans="1:28" ht="15" customHeight="1" x14ac:dyDescent="0.2">
      <c r="A78" s="91">
        <v>1</v>
      </c>
      <c r="B78" s="47" t="s">
        <v>254</v>
      </c>
      <c r="C78" s="47" t="s">
        <v>259</v>
      </c>
      <c r="D78" s="8" t="s">
        <v>162</v>
      </c>
      <c r="E78" s="8" t="s">
        <v>163</v>
      </c>
      <c r="F78" s="93" t="s">
        <v>99</v>
      </c>
      <c r="G78" s="8" t="s">
        <v>100</v>
      </c>
      <c r="H78" s="8" t="s">
        <v>88</v>
      </c>
      <c r="I78" s="14" t="s">
        <v>48</v>
      </c>
      <c r="J78" s="69">
        <f>LOOKUP(I78,'Pattern lookup'!$A$4:$A$21,'Pattern lookup'!$F$4:$F$21)</f>
        <v>15</v>
      </c>
      <c r="K78" s="54">
        <v>5</v>
      </c>
      <c r="L78" s="13">
        <f ca="1">LOOKUP(I78,'Pattern lookup'!$A$4:$A$29,'Pattern lookup'!$C$4:$C$17)</f>
        <v>2</v>
      </c>
      <c r="M78" s="9">
        <f ca="1">LOOKUP(I78,'Pattern lookup'!$A$4:$A$29,'Pattern lookup'!$D$4:$D$17)</f>
        <v>22.5</v>
      </c>
      <c r="N78" s="9">
        <f ca="1">LOOKUP(I78,'Pattern lookup'!$A$4:$A$29,'Pattern lookup'!$E$4:$E$17)</f>
        <v>0.6</v>
      </c>
      <c r="O78" s="42">
        <f t="shared" si="7"/>
        <v>1</v>
      </c>
      <c r="P78" s="52">
        <f t="shared" ca="1" si="8"/>
        <v>27.5</v>
      </c>
      <c r="Q78" s="56" t="s">
        <v>461</v>
      </c>
      <c r="R78">
        <f t="shared" ca="1" si="9"/>
        <v>5</v>
      </c>
      <c r="S78" s="54">
        <v>1</v>
      </c>
      <c r="T78" s="42">
        <f t="shared" ca="1" si="10"/>
        <v>27.5</v>
      </c>
      <c r="U78">
        <f t="shared" ca="1" si="11"/>
        <v>0</v>
      </c>
      <c r="V78" s="8"/>
      <c r="W78" s="90"/>
      <c r="X78" s="54"/>
      <c r="Y78">
        <f t="shared" ca="1" si="12"/>
        <v>0</v>
      </c>
      <c r="Z78" s="117"/>
      <c r="AA78" s="117">
        <f t="shared" ca="1" si="13"/>
        <v>0</v>
      </c>
      <c r="AB78" s="117">
        <f>LOOKUP(I78,'Pattern lookup'!$A$4:$A$21,'Pattern lookup'!$H$4:$H$21)*X78</f>
        <v>0</v>
      </c>
    </row>
    <row r="79" spans="1:28" ht="15" customHeight="1" x14ac:dyDescent="0.2">
      <c r="A79" s="91">
        <v>1</v>
      </c>
      <c r="B79" s="47" t="s">
        <v>254</v>
      </c>
      <c r="C79" s="47" t="s">
        <v>259</v>
      </c>
      <c r="D79" s="8" t="s">
        <v>164</v>
      </c>
      <c r="E79" s="8" t="s">
        <v>165</v>
      </c>
      <c r="F79" s="114" t="s">
        <v>108</v>
      </c>
      <c r="G79" s="8" t="s">
        <v>100</v>
      </c>
      <c r="H79" s="8" t="s">
        <v>87</v>
      </c>
      <c r="I79" s="14" t="s">
        <v>47</v>
      </c>
      <c r="J79" s="69">
        <f>LOOKUP(I79,'Pattern lookup'!$A$4:$A$21,'Pattern lookup'!$F$4:$F$21)</f>
        <v>15</v>
      </c>
      <c r="K79" s="54">
        <v>60</v>
      </c>
      <c r="L79" s="13">
        <f ca="1">LOOKUP(I79,'Pattern lookup'!$A$4:$A$29,'Pattern lookup'!$C$4:$C$17)</f>
        <v>164</v>
      </c>
      <c r="M79" s="9">
        <f ca="1">LOOKUP(I79,'Pattern lookup'!$A$4:$A$29,'Pattern lookup'!$D$4:$D$17)</f>
        <v>34.5</v>
      </c>
      <c r="N79" s="9">
        <f ca="1">LOOKUP(I79,'Pattern lookup'!$A$4:$A$29,'Pattern lookup'!$E$4:$E$17)</f>
        <v>0.7</v>
      </c>
      <c r="O79" s="42">
        <f t="shared" si="7"/>
        <v>4</v>
      </c>
      <c r="P79" s="52">
        <f t="shared" ca="1" si="8"/>
        <v>344</v>
      </c>
      <c r="Q79" s="56" t="s">
        <v>447</v>
      </c>
      <c r="R79">
        <f t="shared" ca="1" si="9"/>
        <v>206</v>
      </c>
      <c r="S79" s="54"/>
      <c r="T79" s="41">
        <f t="shared" ca="1" si="10"/>
        <v>206</v>
      </c>
      <c r="U79">
        <f t="shared" ca="1" si="11"/>
        <v>138</v>
      </c>
      <c r="V79" s="8"/>
      <c r="W79" s="90"/>
      <c r="X79" s="54">
        <v>4</v>
      </c>
      <c r="Y79">
        <f t="shared" ca="1" si="12"/>
        <v>0</v>
      </c>
      <c r="Z79" s="117"/>
      <c r="AA79" s="117">
        <f t="shared" ca="1" si="13"/>
        <v>138</v>
      </c>
      <c r="AB79" s="117">
        <f>LOOKUP(I79,'Pattern lookup'!$A$4:$A$21,'Pattern lookup'!$H$4:$H$21)*X79</f>
        <v>48</v>
      </c>
    </row>
    <row r="80" spans="1:28" ht="15" customHeight="1" x14ac:dyDescent="0.2">
      <c r="A80" s="91">
        <v>1</v>
      </c>
      <c r="B80" s="47" t="s">
        <v>254</v>
      </c>
      <c r="C80" s="47" t="s">
        <v>259</v>
      </c>
      <c r="D80" s="8" t="s">
        <v>164</v>
      </c>
      <c r="E80" s="8" t="s">
        <v>165</v>
      </c>
      <c r="F80" s="114" t="s">
        <v>108</v>
      </c>
      <c r="G80" s="8" t="s">
        <v>100</v>
      </c>
      <c r="H80" s="8" t="s">
        <v>88</v>
      </c>
      <c r="I80" s="14" t="s">
        <v>48</v>
      </c>
      <c r="J80" s="69">
        <f>LOOKUP(I80,'Pattern lookup'!$A$4:$A$21,'Pattern lookup'!$F$4:$F$21)</f>
        <v>15</v>
      </c>
      <c r="K80" s="54">
        <v>15</v>
      </c>
      <c r="L80" s="13">
        <f ca="1">LOOKUP(I80,'Pattern lookup'!$A$4:$A$29,'Pattern lookup'!$C$4:$C$17)</f>
        <v>2</v>
      </c>
      <c r="M80" s="9">
        <f ca="1">LOOKUP(I80,'Pattern lookup'!$A$4:$A$29,'Pattern lookup'!$D$4:$D$17)</f>
        <v>22.5</v>
      </c>
      <c r="N80" s="9">
        <f ca="1">LOOKUP(I80,'Pattern lookup'!$A$4:$A$29,'Pattern lookup'!$E$4:$E$17)</f>
        <v>0.6</v>
      </c>
      <c r="O80" s="42">
        <f t="shared" si="7"/>
        <v>1</v>
      </c>
      <c r="P80" s="52">
        <f t="shared" ca="1" si="8"/>
        <v>33.5</v>
      </c>
      <c r="Q80" s="55" t="s">
        <v>447</v>
      </c>
      <c r="R80">
        <f t="shared" ca="1" si="9"/>
        <v>11</v>
      </c>
      <c r="S80" s="54"/>
      <c r="T80" s="42">
        <f t="shared" ca="1" si="10"/>
        <v>11</v>
      </c>
      <c r="U80">
        <f t="shared" ca="1" si="11"/>
        <v>22.5</v>
      </c>
      <c r="V80" s="92"/>
      <c r="W80" s="90"/>
      <c r="X80" s="54">
        <v>1</v>
      </c>
      <c r="Y80">
        <f t="shared" ca="1" si="12"/>
        <v>0</v>
      </c>
      <c r="Z80" s="117"/>
      <c r="AA80" s="117">
        <f t="shared" ca="1" si="13"/>
        <v>22.5</v>
      </c>
      <c r="AB80" s="117">
        <f>LOOKUP(I80,'Pattern lookup'!$A$4:$A$21,'Pattern lookup'!$H$4:$H$21)*X80</f>
        <v>12</v>
      </c>
    </row>
    <row r="81" spans="1:28" ht="15" hidden="1" customHeight="1" x14ac:dyDescent="0.2">
      <c r="A81" s="91">
        <v>0</v>
      </c>
      <c r="B81" s="47" t="s">
        <v>255</v>
      </c>
      <c r="C81" s="47" t="s">
        <v>259</v>
      </c>
      <c r="D81" s="8" t="s">
        <v>164</v>
      </c>
      <c r="E81" s="8" t="s">
        <v>165</v>
      </c>
      <c r="F81" s="94" t="s">
        <v>143</v>
      </c>
      <c r="G81" s="8" t="s">
        <v>142</v>
      </c>
      <c r="H81" s="8" t="s">
        <v>87</v>
      </c>
      <c r="I81" s="14" t="s">
        <v>58</v>
      </c>
      <c r="J81" s="69">
        <f>LOOKUP(I81,'Pattern lookup'!$A$4:$A$21,'Pattern lookup'!$F$4:$F$21)</f>
        <v>0</v>
      </c>
      <c r="K81" s="54">
        <v>40</v>
      </c>
      <c r="L81" s="13">
        <f ca="1">LOOKUP(I81,'Pattern lookup'!$A$4:$A$29,'Pattern lookup'!$C$4:$C$17)</f>
        <v>35</v>
      </c>
      <c r="M81" s="9">
        <f ca="1">LOOKUP(I81,'Pattern lookup'!$A$4:$A$29,'Pattern lookup'!$D$4:$D$17)</f>
        <v>0</v>
      </c>
      <c r="N81" s="9">
        <f ca="1">LOOKUP(I81,'Pattern lookup'!$A$4:$A$29,'Pattern lookup'!$E$4:$E$17)</f>
        <v>0.6</v>
      </c>
      <c r="O81" s="42">
        <f t="shared" si="7"/>
        <v>0</v>
      </c>
      <c r="P81" s="52">
        <f t="shared" si="8"/>
        <v>0</v>
      </c>
      <c r="Q81" s="55" t="s">
        <v>301</v>
      </c>
      <c r="R81">
        <f t="shared" si="9"/>
        <v>0</v>
      </c>
      <c r="S81" s="54"/>
      <c r="T81" s="42">
        <f t="shared" ca="1" si="10"/>
        <v>0</v>
      </c>
      <c r="U81">
        <f t="shared" ca="1" si="11"/>
        <v>0</v>
      </c>
      <c r="V81" s="8"/>
      <c r="W81" s="90"/>
      <c r="X81" s="54"/>
      <c r="Y81">
        <f t="shared" ca="1" si="12"/>
        <v>0</v>
      </c>
      <c r="Z81" s="117"/>
      <c r="AA81" s="117">
        <f t="shared" ca="1" si="13"/>
        <v>0</v>
      </c>
      <c r="AB81" s="117">
        <f>LOOKUP(I81,'Pattern lookup'!$A$4:$A$21,'Pattern lookup'!$H$4:$H$21)*X81</f>
        <v>0</v>
      </c>
    </row>
    <row r="82" spans="1:28" ht="15" customHeight="1" x14ac:dyDescent="0.2">
      <c r="A82" s="91">
        <v>1</v>
      </c>
      <c r="B82" s="47" t="s">
        <v>254</v>
      </c>
      <c r="C82" s="47" t="s">
        <v>259</v>
      </c>
      <c r="D82" s="8" t="s">
        <v>166</v>
      </c>
      <c r="E82" s="8" t="s">
        <v>169</v>
      </c>
      <c r="F82" s="114" t="s">
        <v>108</v>
      </c>
      <c r="G82" s="8" t="s">
        <v>100</v>
      </c>
      <c r="H82" s="8" t="s">
        <v>87</v>
      </c>
      <c r="I82" s="14" t="s">
        <v>47</v>
      </c>
      <c r="J82" s="69">
        <f>LOOKUP(I82,'Pattern lookup'!$A$4:$A$21,'Pattern lookup'!$F$4:$F$21)</f>
        <v>15</v>
      </c>
      <c r="K82" s="54">
        <v>45</v>
      </c>
      <c r="L82" s="13">
        <f ca="1">LOOKUP(I82,'Pattern lookup'!$A$4:$A$29,'Pattern lookup'!$C$4:$C$17)</f>
        <v>164</v>
      </c>
      <c r="M82" s="9">
        <f ca="1">LOOKUP(I82,'Pattern lookup'!$A$4:$A$29,'Pattern lookup'!$D$4:$D$17)</f>
        <v>34.5</v>
      </c>
      <c r="N82" s="9">
        <f ca="1">LOOKUP(I82,'Pattern lookup'!$A$4:$A$29,'Pattern lookup'!$E$4:$E$17)</f>
        <v>0.7</v>
      </c>
      <c r="O82" s="42">
        <f t="shared" si="7"/>
        <v>3</v>
      </c>
      <c r="P82" s="52">
        <f t="shared" ca="1" si="8"/>
        <v>299</v>
      </c>
      <c r="Q82" s="56" t="s">
        <v>452</v>
      </c>
      <c r="R82">
        <f t="shared" ca="1" si="9"/>
        <v>195.5</v>
      </c>
      <c r="S82" s="54"/>
      <c r="T82" s="42">
        <f t="shared" ca="1" si="10"/>
        <v>195.5</v>
      </c>
      <c r="U82">
        <f t="shared" ca="1" si="11"/>
        <v>103.5</v>
      </c>
      <c r="V82" s="8"/>
      <c r="W82" s="90"/>
      <c r="X82" s="54">
        <v>3</v>
      </c>
      <c r="Y82">
        <f t="shared" ca="1" si="12"/>
        <v>0</v>
      </c>
      <c r="Z82" s="117"/>
      <c r="AA82" s="117">
        <f t="shared" ca="1" si="13"/>
        <v>103.5</v>
      </c>
      <c r="AB82" s="117">
        <f>LOOKUP(I82,'Pattern lookup'!$A$4:$A$21,'Pattern lookup'!$H$4:$H$21)*X82</f>
        <v>36</v>
      </c>
    </row>
    <row r="83" spans="1:28" ht="15" customHeight="1" x14ac:dyDescent="0.2">
      <c r="A83" s="91">
        <v>1</v>
      </c>
      <c r="B83" s="47" t="s">
        <v>254</v>
      </c>
      <c r="C83" s="47" t="s">
        <v>259</v>
      </c>
      <c r="D83" s="8" t="s">
        <v>166</v>
      </c>
      <c r="E83" s="8" t="s">
        <v>169</v>
      </c>
      <c r="F83" s="114" t="s">
        <v>108</v>
      </c>
      <c r="G83" s="8" t="s">
        <v>100</v>
      </c>
      <c r="H83" s="8" t="s">
        <v>88</v>
      </c>
      <c r="I83" s="14" t="s">
        <v>48</v>
      </c>
      <c r="J83" s="69">
        <f>LOOKUP(I83,'Pattern lookup'!$A$4:$A$21,'Pattern lookup'!$F$4:$F$21)</f>
        <v>15</v>
      </c>
      <c r="K83" s="54">
        <v>9</v>
      </c>
      <c r="L83" s="13">
        <f ca="1">LOOKUP(I83,'Pattern lookup'!$A$4:$A$29,'Pattern lookup'!$C$4:$C$17)</f>
        <v>2</v>
      </c>
      <c r="M83" s="9">
        <f ca="1">LOOKUP(I83,'Pattern lookup'!$A$4:$A$29,'Pattern lookup'!$D$4:$D$17)</f>
        <v>22.5</v>
      </c>
      <c r="N83" s="9">
        <f ca="1">LOOKUP(I83,'Pattern lookup'!$A$4:$A$29,'Pattern lookup'!$E$4:$E$17)</f>
        <v>0.6</v>
      </c>
      <c r="O83" s="42">
        <f t="shared" si="7"/>
        <v>1</v>
      </c>
      <c r="P83" s="52">
        <f t="shared" ca="1" si="8"/>
        <v>29.9</v>
      </c>
      <c r="Q83" s="56" t="s">
        <v>452</v>
      </c>
      <c r="R83">
        <f t="shared" ca="1" si="9"/>
        <v>7.3999999999999995</v>
      </c>
      <c r="S83" s="54"/>
      <c r="T83" s="42">
        <f t="shared" ca="1" si="10"/>
        <v>7.3999999999999995</v>
      </c>
      <c r="U83">
        <f t="shared" ca="1" si="11"/>
        <v>22.5</v>
      </c>
      <c r="V83" s="8"/>
      <c r="W83" s="90"/>
      <c r="X83" s="54">
        <v>1</v>
      </c>
      <c r="Y83">
        <f t="shared" ca="1" si="12"/>
        <v>0</v>
      </c>
      <c r="Z83" s="117"/>
      <c r="AA83" s="117">
        <f t="shared" ca="1" si="13"/>
        <v>22.5</v>
      </c>
      <c r="AB83" s="117">
        <f>LOOKUP(I83,'Pattern lookup'!$A$4:$A$21,'Pattern lookup'!$H$4:$H$21)*X83</f>
        <v>12</v>
      </c>
    </row>
    <row r="84" spans="1:28" ht="15" customHeight="1" x14ac:dyDescent="0.2">
      <c r="A84" s="91">
        <v>1</v>
      </c>
      <c r="B84" s="47" t="s">
        <v>255</v>
      </c>
      <c r="C84" s="47" t="s">
        <v>259</v>
      </c>
      <c r="D84" s="8" t="s">
        <v>166</v>
      </c>
      <c r="E84" s="8" t="s">
        <v>169</v>
      </c>
      <c r="F84" s="42" t="s">
        <v>445</v>
      </c>
      <c r="G84" s="8" t="s">
        <v>142</v>
      </c>
      <c r="H84" s="8" t="s">
        <v>87</v>
      </c>
      <c r="I84" s="14" t="s">
        <v>58</v>
      </c>
      <c r="J84" s="69">
        <f>LOOKUP(I84,'Pattern lookup'!$A$4:$A$21,'Pattern lookup'!$F$4:$F$21)</f>
        <v>0</v>
      </c>
      <c r="K84" s="54">
        <v>40</v>
      </c>
      <c r="L84" s="13">
        <f ca="1">LOOKUP(I84,'Pattern lookup'!$A$4:$A$29,'Pattern lookup'!$C$4:$C$17)</f>
        <v>35</v>
      </c>
      <c r="M84" s="9">
        <f ca="1">LOOKUP(I84,'Pattern lookup'!$A$4:$A$29,'Pattern lookup'!$D$4:$D$17)</f>
        <v>0</v>
      </c>
      <c r="N84" s="9">
        <f ca="1">LOOKUP(I84,'Pattern lookup'!$A$4:$A$29,'Pattern lookup'!$E$4:$E$17)</f>
        <v>0.6</v>
      </c>
      <c r="O84" s="42">
        <f t="shared" si="7"/>
        <v>0</v>
      </c>
      <c r="P84" s="52">
        <f t="shared" ca="1" si="8"/>
        <v>59</v>
      </c>
      <c r="Q84" s="56" t="s">
        <v>452</v>
      </c>
      <c r="R84">
        <f t="shared" ca="1" si="9"/>
        <v>59</v>
      </c>
      <c r="S84" s="54"/>
      <c r="T84" s="42">
        <f t="shared" ca="1" si="10"/>
        <v>59</v>
      </c>
      <c r="U84">
        <f t="shared" ca="1" si="11"/>
        <v>0</v>
      </c>
      <c r="V84" s="8"/>
      <c r="W84" s="90"/>
      <c r="X84" s="54"/>
      <c r="Y84">
        <f t="shared" ca="1" si="12"/>
        <v>0</v>
      </c>
      <c r="Z84" s="117"/>
      <c r="AA84" s="117">
        <f t="shared" ca="1" si="13"/>
        <v>0</v>
      </c>
      <c r="AB84" s="117">
        <f>LOOKUP(I84,'Pattern lookup'!$A$4:$A$21,'Pattern lookup'!$H$4:$H$21)*X84</f>
        <v>0</v>
      </c>
    </row>
    <row r="85" spans="1:28" ht="15" hidden="1" customHeight="1" x14ac:dyDescent="0.2">
      <c r="A85" s="91">
        <v>0</v>
      </c>
      <c r="B85" s="47" t="s">
        <v>255</v>
      </c>
      <c r="C85" s="47" t="s">
        <v>259</v>
      </c>
      <c r="D85" s="8" t="s">
        <v>166</v>
      </c>
      <c r="E85" s="8" t="s">
        <v>169</v>
      </c>
      <c r="F85" s="98" t="s">
        <v>145</v>
      </c>
      <c r="G85" s="8" t="s">
        <v>146</v>
      </c>
      <c r="H85" s="8" t="s">
        <v>87</v>
      </c>
      <c r="I85" s="14" t="s">
        <v>58</v>
      </c>
      <c r="J85" s="69">
        <f>LOOKUP(I85,'Pattern lookup'!$A$4:$A$21,'Pattern lookup'!$F$4:$F$21)</f>
        <v>0</v>
      </c>
      <c r="K85" s="54">
        <v>40</v>
      </c>
      <c r="L85" s="13">
        <f ca="1">LOOKUP(I85,'Pattern lookup'!$A$4:$A$29,'Pattern lookup'!$C$4:$C$17)</f>
        <v>35</v>
      </c>
      <c r="M85" s="9">
        <f ca="1">LOOKUP(I85,'Pattern lookup'!$A$4:$A$29,'Pattern lookup'!$D$4:$D$17)</f>
        <v>0</v>
      </c>
      <c r="N85" s="9">
        <f ca="1">LOOKUP(I85,'Pattern lookup'!$A$4:$A$29,'Pattern lookup'!$E$4:$E$17)</f>
        <v>0.6</v>
      </c>
      <c r="O85" s="42">
        <f t="shared" si="7"/>
        <v>0</v>
      </c>
      <c r="P85" s="52">
        <f t="shared" si="8"/>
        <v>0</v>
      </c>
      <c r="Q85" s="55" t="s">
        <v>301</v>
      </c>
      <c r="R85">
        <f t="shared" si="9"/>
        <v>0</v>
      </c>
      <c r="S85" s="54"/>
      <c r="T85" s="42">
        <f t="shared" ca="1" si="10"/>
        <v>0</v>
      </c>
      <c r="U85">
        <f t="shared" ca="1" si="11"/>
        <v>0</v>
      </c>
      <c r="V85" s="8"/>
      <c r="W85" s="90"/>
      <c r="X85" s="54"/>
      <c r="Y85">
        <f t="shared" ca="1" si="12"/>
        <v>0</v>
      </c>
      <c r="Z85" s="117"/>
      <c r="AA85" s="117">
        <f t="shared" ca="1" si="13"/>
        <v>0</v>
      </c>
      <c r="AB85" s="117">
        <f>LOOKUP(I85,'Pattern lookup'!$A$4:$A$21,'Pattern lookup'!$H$4:$H$21)*X85</f>
        <v>0</v>
      </c>
    </row>
    <row r="86" spans="1:28" ht="15" hidden="1" customHeight="1" x14ac:dyDescent="0.2">
      <c r="A86" s="91">
        <v>0</v>
      </c>
      <c r="B86" s="47" t="s">
        <v>255</v>
      </c>
      <c r="C86" s="47" t="s">
        <v>259</v>
      </c>
      <c r="D86" s="8" t="s">
        <v>166</v>
      </c>
      <c r="E86" s="8" t="s">
        <v>169</v>
      </c>
      <c r="F86" s="100" t="s">
        <v>425</v>
      </c>
      <c r="G86" s="8" t="s">
        <v>101</v>
      </c>
      <c r="H86" s="8" t="s">
        <v>87</v>
      </c>
      <c r="I86" s="14" t="s">
        <v>426</v>
      </c>
      <c r="J86" s="69">
        <f>LOOKUP(I86,'Pattern lookup'!$A$4:$A$21,'Pattern lookup'!$F$4:$F$21)</f>
        <v>0</v>
      </c>
      <c r="K86" s="54">
        <v>10</v>
      </c>
      <c r="L86" s="13">
        <f ca="1">LOOKUP(I86,'Pattern lookup'!$A$4:$A$29,'Pattern lookup'!$C$4:$C$17)</f>
        <v>37</v>
      </c>
      <c r="M86" s="9">
        <f ca="1">LOOKUP(I86,'Pattern lookup'!$A$4:$A$29,'Pattern lookup'!$D$4:$D$17)</f>
        <v>0</v>
      </c>
      <c r="N86" s="9">
        <f ca="1">LOOKUP(I86,'Pattern lookup'!$A$4:$A$29,'Pattern lookup'!$E$4:$E$17)</f>
        <v>0.35</v>
      </c>
      <c r="O86" s="42">
        <f t="shared" si="7"/>
        <v>0</v>
      </c>
      <c r="P86" s="52">
        <f t="shared" si="8"/>
        <v>0</v>
      </c>
      <c r="Q86" s="56" t="s">
        <v>301</v>
      </c>
      <c r="R86">
        <f t="shared" si="9"/>
        <v>0</v>
      </c>
      <c r="S86" s="54"/>
      <c r="T86" s="42">
        <f t="shared" ca="1" si="10"/>
        <v>0</v>
      </c>
      <c r="U86">
        <f t="shared" ca="1" si="11"/>
        <v>0</v>
      </c>
      <c r="V86" s="92"/>
      <c r="W86" s="90"/>
      <c r="X86" s="54"/>
      <c r="Y86">
        <f t="shared" ca="1" si="12"/>
        <v>0</v>
      </c>
      <c r="Z86" s="117"/>
      <c r="AA86" s="117">
        <f t="shared" ca="1" si="13"/>
        <v>0</v>
      </c>
      <c r="AB86" s="117">
        <f>LOOKUP(I86,'Pattern lookup'!$A$4:$A$21,'Pattern lookup'!$H$4:$H$21)*X86</f>
        <v>0</v>
      </c>
    </row>
    <row r="87" spans="1:28" ht="15" customHeight="1" x14ac:dyDescent="0.2">
      <c r="A87" s="91">
        <v>1</v>
      </c>
      <c r="B87" s="47" t="s">
        <v>254</v>
      </c>
      <c r="C87" s="47" t="s">
        <v>259</v>
      </c>
      <c r="D87" s="8" t="s">
        <v>167</v>
      </c>
      <c r="E87" s="8" t="s">
        <v>170</v>
      </c>
      <c r="F87" s="93" t="s">
        <v>99</v>
      </c>
      <c r="G87" s="8" t="s">
        <v>100</v>
      </c>
      <c r="H87" s="8" t="s">
        <v>87</v>
      </c>
      <c r="I87" s="14" t="s">
        <v>47</v>
      </c>
      <c r="J87" s="69">
        <f>LOOKUP(I87,'Pattern lookup'!$A$4:$A$21,'Pattern lookup'!$F$4:$F$21)</f>
        <v>15</v>
      </c>
      <c r="K87" s="54">
        <v>30</v>
      </c>
      <c r="L87" s="13">
        <f ca="1">LOOKUP(I87,'Pattern lookup'!$A$4:$A$29,'Pattern lookup'!$C$4:$C$17)</f>
        <v>164</v>
      </c>
      <c r="M87" s="9">
        <f ca="1">LOOKUP(I87,'Pattern lookup'!$A$4:$A$29,'Pattern lookup'!$D$4:$D$17)</f>
        <v>34.5</v>
      </c>
      <c r="N87" s="9">
        <f ca="1">LOOKUP(I87,'Pattern lookup'!$A$4:$A$29,'Pattern lookup'!$E$4:$E$17)</f>
        <v>0.7</v>
      </c>
      <c r="O87" s="42">
        <f t="shared" si="7"/>
        <v>2</v>
      </c>
      <c r="P87" s="52">
        <f t="shared" ca="1" si="8"/>
        <v>254</v>
      </c>
      <c r="Q87" s="56" t="s">
        <v>458</v>
      </c>
      <c r="R87">
        <f t="shared" ca="1" si="9"/>
        <v>185</v>
      </c>
      <c r="S87" s="54">
        <v>2</v>
      </c>
      <c r="T87" s="42">
        <f t="shared" ca="1" si="10"/>
        <v>254</v>
      </c>
      <c r="U87">
        <f t="shared" ca="1" si="11"/>
        <v>0</v>
      </c>
      <c r="V87" s="8"/>
      <c r="W87" s="90"/>
      <c r="X87" s="54"/>
      <c r="Y87">
        <f t="shared" ca="1" si="12"/>
        <v>0</v>
      </c>
      <c r="Z87" s="117"/>
      <c r="AA87" s="117">
        <f t="shared" ca="1" si="13"/>
        <v>0</v>
      </c>
      <c r="AB87" s="117">
        <f>LOOKUP(I87,'Pattern lookup'!$A$4:$A$21,'Pattern lookup'!$H$4:$H$21)*X87</f>
        <v>0</v>
      </c>
    </row>
    <row r="88" spans="1:28" ht="15" customHeight="1" x14ac:dyDescent="0.2">
      <c r="A88" s="91">
        <v>1</v>
      </c>
      <c r="B88" s="47" t="s">
        <v>254</v>
      </c>
      <c r="C88" s="47" t="s">
        <v>259</v>
      </c>
      <c r="D88" s="8" t="s">
        <v>168</v>
      </c>
      <c r="E88" s="8" t="s">
        <v>171</v>
      </c>
      <c r="F88" s="93" t="s">
        <v>99</v>
      </c>
      <c r="G88" s="8" t="s">
        <v>100</v>
      </c>
      <c r="H88" s="8" t="s">
        <v>87</v>
      </c>
      <c r="I88" s="14" t="s">
        <v>47</v>
      </c>
      <c r="J88" s="69">
        <f>LOOKUP(I88,'Pattern lookup'!$A$4:$A$21,'Pattern lookup'!$F$4:$F$21)</f>
        <v>15</v>
      </c>
      <c r="K88" s="54">
        <v>60</v>
      </c>
      <c r="L88" s="13">
        <f ca="1">LOOKUP(I88,'Pattern lookup'!$A$4:$A$29,'Pattern lookup'!$C$4:$C$17)</f>
        <v>164</v>
      </c>
      <c r="M88" s="9">
        <f ca="1">LOOKUP(I88,'Pattern lookup'!$A$4:$A$29,'Pattern lookup'!$D$4:$D$17)</f>
        <v>34.5</v>
      </c>
      <c r="N88" s="9">
        <f ca="1">LOOKUP(I88,'Pattern lookup'!$A$4:$A$29,'Pattern lookup'!$E$4:$E$17)</f>
        <v>0.7</v>
      </c>
      <c r="O88" s="42">
        <f t="shared" si="7"/>
        <v>4</v>
      </c>
      <c r="P88" s="52">
        <f t="shared" ca="1" si="8"/>
        <v>344</v>
      </c>
      <c r="Q88" s="55" t="s">
        <v>447</v>
      </c>
      <c r="R88">
        <f t="shared" ca="1" si="9"/>
        <v>206</v>
      </c>
      <c r="S88" s="54"/>
      <c r="T88" s="41">
        <f t="shared" ca="1" si="10"/>
        <v>206</v>
      </c>
      <c r="U88">
        <f t="shared" ca="1" si="11"/>
        <v>138</v>
      </c>
      <c r="V88" s="8"/>
      <c r="W88" s="90"/>
      <c r="X88" s="54">
        <v>4</v>
      </c>
      <c r="Y88">
        <f t="shared" ca="1" si="12"/>
        <v>0</v>
      </c>
      <c r="Z88" s="117"/>
      <c r="AA88" s="117">
        <f t="shared" ca="1" si="13"/>
        <v>138</v>
      </c>
      <c r="AB88" s="117">
        <f>LOOKUP(I88,'Pattern lookup'!$A$4:$A$21,'Pattern lookup'!$H$4:$H$21)*X88</f>
        <v>48</v>
      </c>
    </row>
    <row r="89" spans="1:28" ht="15" customHeight="1" x14ac:dyDescent="0.2">
      <c r="A89" s="91">
        <v>1</v>
      </c>
      <c r="B89" s="47" t="s">
        <v>254</v>
      </c>
      <c r="C89" s="47" t="s">
        <v>259</v>
      </c>
      <c r="D89" s="8" t="s">
        <v>168</v>
      </c>
      <c r="E89" s="8" t="s">
        <v>171</v>
      </c>
      <c r="F89" s="93" t="s">
        <v>99</v>
      </c>
      <c r="G89" s="8" t="s">
        <v>100</v>
      </c>
      <c r="H89" s="8" t="s">
        <v>88</v>
      </c>
      <c r="I89" s="14" t="s">
        <v>48</v>
      </c>
      <c r="J89" s="69">
        <f>LOOKUP(I89,'Pattern lookup'!$A$4:$A$21,'Pattern lookup'!$F$4:$F$21)</f>
        <v>15</v>
      </c>
      <c r="K89" s="54">
        <v>5</v>
      </c>
      <c r="L89" s="13">
        <f ca="1">LOOKUP(I89,'Pattern lookup'!$A$4:$A$29,'Pattern lookup'!$C$4:$C$17)</f>
        <v>2</v>
      </c>
      <c r="M89" s="9">
        <f ca="1">LOOKUP(I89,'Pattern lookup'!$A$4:$A$29,'Pattern lookup'!$D$4:$D$17)</f>
        <v>22.5</v>
      </c>
      <c r="N89" s="9">
        <f ca="1">LOOKUP(I89,'Pattern lookup'!$A$4:$A$29,'Pattern lookup'!$E$4:$E$17)</f>
        <v>0.6</v>
      </c>
      <c r="O89" s="42">
        <f t="shared" si="7"/>
        <v>1</v>
      </c>
      <c r="P89" s="52">
        <f t="shared" ca="1" si="8"/>
        <v>27.5</v>
      </c>
      <c r="Q89" s="55" t="s">
        <v>447</v>
      </c>
      <c r="R89">
        <f t="shared" ca="1" si="9"/>
        <v>5</v>
      </c>
      <c r="S89" s="54"/>
      <c r="T89" s="42">
        <f t="shared" ca="1" si="10"/>
        <v>5</v>
      </c>
      <c r="U89">
        <f t="shared" ca="1" si="11"/>
        <v>22.5</v>
      </c>
      <c r="V89" s="8"/>
      <c r="W89" s="90"/>
      <c r="X89" s="54">
        <v>1</v>
      </c>
      <c r="Y89">
        <f t="shared" ca="1" si="12"/>
        <v>0</v>
      </c>
      <c r="Z89" s="117"/>
      <c r="AA89" s="117">
        <f t="shared" ca="1" si="13"/>
        <v>22.5</v>
      </c>
      <c r="AB89" s="117">
        <f>LOOKUP(I89,'Pattern lookup'!$A$4:$A$21,'Pattern lookup'!$H$4:$H$21)*X89</f>
        <v>12</v>
      </c>
    </row>
    <row r="90" spans="1:28" ht="15" customHeight="1" x14ac:dyDescent="0.2">
      <c r="A90" s="91">
        <v>1</v>
      </c>
      <c r="B90" s="47" t="s">
        <v>255</v>
      </c>
      <c r="C90" s="47" t="s">
        <v>259</v>
      </c>
      <c r="D90" s="8" t="s">
        <v>168</v>
      </c>
      <c r="E90" s="8" t="s">
        <v>171</v>
      </c>
      <c r="F90" s="42" t="s">
        <v>445</v>
      </c>
      <c r="G90" s="8" t="s">
        <v>142</v>
      </c>
      <c r="H90" s="8" t="s">
        <v>87</v>
      </c>
      <c r="I90" s="14" t="s">
        <v>58</v>
      </c>
      <c r="J90" s="69">
        <f>LOOKUP(I90,'Pattern lookup'!$A$4:$A$21,'Pattern lookup'!$F$4:$F$21)</f>
        <v>0</v>
      </c>
      <c r="K90" s="54">
        <v>40</v>
      </c>
      <c r="L90" s="13">
        <f ca="1">LOOKUP(I90,'Pattern lookup'!$A$4:$A$29,'Pattern lookup'!$C$4:$C$17)</f>
        <v>35</v>
      </c>
      <c r="M90" s="9">
        <f ca="1">LOOKUP(I90,'Pattern lookup'!$A$4:$A$29,'Pattern lookup'!$D$4:$D$17)</f>
        <v>0</v>
      </c>
      <c r="N90" s="9">
        <f ca="1">LOOKUP(I90,'Pattern lookup'!$A$4:$A$29,'Pattern lookup'!$E$4:$E$17)</f>
        <v>0.6</v>
      </c>
      <c r="O90" s="42">
        <f t="shared" si="7"/>
        <v>0</v>
      </c>
      <c r="P90" s="52">
        <f t="shared" ca="1" si="8"/>
        <v>59</v>
      </c>
      <c r="Q90" s="55" t="s">
        <v>447</v>
      </c>
      <c r="R90">
        <f t="shared" ca="1" si="9"/>
        <v>59</v>
      </c>
      <c r="S90" s="54"/>
      <c r="T90" s="42">
        <f t="shared" ca="1" si="10"/>
        <v>59</v>
      </c>
      <c r="U90">
        <f t="shared" ca="1" si="11"/>
        <v>0</v>
      </c>
      <c r="V90" s="8"/>
      <c r="W90" s="90"/>
      <c r="X90" s="54"/>
      <c r="Y90">
        <f t="shared" ca="1" si="12"/>
        <v>0</v>
      </c>
      <c r="Z90" s="117"/>
      <c r="AA90" s="117">
        <f t="shared" ca="1" si="13"/>
        <v>0</v>
      </c>
      <c r="AB90" s="117">
        <f>LOOKUP(I90,'Pattern lookup'!$A$4:$A$21,'Pattern lookup'!$H$4:$H$21)*X90</f>
        <v>0</v>
      </c>
    </row>
    <row r="91" spans="1:28" ht="15" customHeight="1" x14ac:dyDescent="0.2">
      <c r="A91" s="91">
        <v>1</v>
      </c>
      <c r="B91" s="47" t="s">
        <v>255</v>
      </c>
      <c r="C91" s="47" t="s">
        <v>259</v>
      </c>
      <c r="D91" s="8" t="s">
        <v>168</v>
      </c>
      <c r="E91" s="8" t="s">
        <v>171</v>
      </c>
      <c r="F91" s="94" t="s">
        <v>469</v>
      </c>
      <c r="G91" s="8" t="s">
        <v>142</v>
      </c>
      <c r="H91" s="8" t="s">
        <v>87</v>
      </c>
      <c r="I91" s="14" t="s">
        <v>58</v>
      </c>
      <c r="J91" s="69">
        <f>LOOKUP(I91,'Pattern lookup'!$A$4:$A$21,'Pattern lookup'!$F$4:$F$21)</f>
        <v>0</v>
      </c>
      <c r="K91" s="54">
        <v>40</v>
      </c>
      <c r="L91" s="13">
        <f ca="1">LOOKUP(I91,'Pattern lookup'!$A$4:$A$29,'Pattern lookup'!$C$4:$C$17)</f>
        <v>35</v>
      </c>
      <c r="M91" s="9">
        <f ca="1">LOOKUP(I91,'Pattern lookup'!$A$4:$A$29,'Pattern lookup'!$D$4:$D$17)</f>
        <v>0</v>
      </c>
      <c r="N91" s="9">
        <f ca="1">LOOKUP(I91,'Pattern lookup'!$A$4:$A$29,'Pattern lookup'!$E$4:$E$17)</f>
        <v>0.6</v>
      </c>
      <c r="O91" s="42">
        <f t="shared" si="7"/>
        <v>0</v>
      </c>
      <c r="P91" s="52">
        <f t="shared" ca="1" si="8"/>
        <v>59</v>
      </c>
      <c r="Q91" s="55" t="s">
        <v>447</v>
      </c>
      <c r="R91">
        <f t="shared" ca="1" si="9"/>
        <v>59</v>
      </c>
      <c r="S91" s="54"/>
      <c r="T91" s="42">
        <f t="shared" ca="1" si="10"/>
        <v>59</v>
      </c>
      <c r="U91">
        <f t="shared" ca="1" si="11"/>
        <v>0</v>
      </c>
      <c r="V91" s="8"/>
      <c r="W91" s="90"/>
      <c r="X91" s="54"/>
      <c r="Y91">
        <f t="shared" ca="1" si="12"/>
        <v>0</v>
      </c>
      <c r="Z91" s="117"/>
      <c r="AA91" s="117">
        <f t="shared" ca="1" si="13"/>
        <v>0</v>
      </c>
      <c r="AB91" s="117">
        <f>LOOKUP(I91,'Pattern lookup'!$A$4:$A$21,'Pattern lookup'!$H$4:$H$21)*X91</f>
        <v>0</v>
      </c>
    </row>
    <row r="92" spans="1:28" ht="15" hidden="1" customHeight="1" x14ac:dyDescent="0.2">
      <c r="A92" s="91">
        <v>0</v>
      </c>
      <c r="B92" s="47" t="s">
        <v>255</v>
      </c>
      <c r="C92" s="47" t="s">
        <v>259</v>
      </c>
      <c r="D92" s="8" t="s">
        <v>168</v>
      </c>
      <c r="E92" s="8" t="s">
        <v>171</v>
      </c>
      <c r="F92" s="97" t="s">
        <v>172</v>
      </c>
      <c r="G92" s="8" t="s">
        <v>146</v>
      </c>
      <c r="H92" s="8" t="s">
        <v>87</v>
      </c>
      <c r="I92" s="14" t="s">
        <v>58</v>
      </c>
      <c r="J92" s="69">
        <f>LOOKUP(I92,'Pattern lookup'!$A$4:$A$21,'Pattern lookup'!$F$4:$F$21)</f>
        <v>0</v>
      </c>
      <c r="K92" s="54">
        <v>40</v>
      </c>
      <c r="L92" s="13">
        <f ca="1">LOOKUP(I92,'Pattern lookup'!$A$4:$A$29,'Pattern lookup'!$C$4:$C$17)</f>
        <v>35</v>
      </c>
      <c r="M92" s="9">
        <f ca="1">LOOKUP(I92,'Pattern lookup'!$A$4:$A$29,'Pattern lookup'!$D$4:$D$17)</f>
        <v>0</v>
      </c>
      <c r="N92" s="9">
        <f ca="1">LOOKUP(I92,'Pattern lookup'!$A$4:$A$29,'Pattern lookup'!$E$4:$E$17)</f>
        <v>0.6</v>
      </c>
      <c r="O92" s="42">
        <f t="shared" si="7"/>
        <v>0</v>
      </c>
      <c r="P92" s="52">
        <f t="shared" si="8"/>
        <v>0</v>
      </c>
      <c r="Q92" s="55" t="s">
        <v>301</v>
      </c>
      <c r="R92">
        <f t="shared" si="9"/>
        <v>0</v>
      </c>
      <c r="S92" s="54"/>
      <c r="T92" s="42">
        <f t="shared" ca="1" si="10"/>
        <v>0</v>
      </c>
      <c r="U92">
        <f t="shared" ca="1" si="11"/>
        <v>0</v>
      </c>
      <c r="V92" s="8"/>
      <c r="W92" s="90"/>
      <c r="X92" s="54"/>
      <c r="Y92">
        <f t="shared" ca="1" si="12"/>
        <v>0</v>
      </c>
      <c r="Z92" s="117"/>
      <c r="AA92" s="117">
        <f t="shared" ca="1" si="13"/>
        <v>0</v>
      </c>
      <c r="AB92" s="117">
        <f>LOOKUP(I92,'Pattern lookup'!$A$4:$A$21,'Pattern lookup'!$H$4:$H$21)*X92</f>
        <v>0</v>
      </c>
    </row>
    <row r="93" spans="1:28" ht="15" customHeight="1" x14ac:dyDescent="0.2">
      <c r="A93" s="91">
        <v>1</v>
      </c>
      <c r="B93" s="47" t="s">
        <v>254</v>
      </c>
      <c r="C93" s="47" t="s">
        <v>259</v>
      </c>
      <c r="D93" s="8" t="s">
        <v>173</v>
      </c>
      <c r="E93" s="8" t="s">
        <v>174</v>
      </c>
      <c r="F93" s="114" t="s">
        <v>108</v>
      </c>
      <c r="G93" s="8" t="s">
        <v>100</v>
      </c>
      <c r="H93" s="8" t="s">
        <v>87</v>
      </c>
      <c r="I93" s="14" t="s">
        <v>47</v>
      </c>
      <c r="J93" s="69">
        <f>LOOKUP(I93,'Pattern lookup'!$A$4:$A$21,'Pattern lookup'!$F$4:$F$21)</f>
        <v>15</v>
      </c>
      <c r="K93" s="54">
        <v>33</v>
      </c>
      <c r="L93" s="13">
        <f ca="1">LOOKUP(I93,'Pattern lookup'!$A$4:$A$29,'Pattern lookup'!$C$4:$C$17)</f>
        <v>164</v>
      </c>
      <c r="M93" s="9">
        <f ca="1">LOOKUP(I93,'Pattern lookup'!$A$4:$A$29,'Pattern lookup'!$D$4:$D$17)</f>
        <v>34.5</v>
      </c>
      <c r="N93" s="9">
        <f ca="1">LOOKUP(I93,'Pattern lookup'!$A$4:$A$29,'Pattern lookup'!$E$4:$E$17)</f>
        <v>0.7</v>
      </c>
      <c r="O93" s="42">
        <f t="shared" si="7"/>
        <v>3</v>
      </c>
      <c r="P93" s="52">
        <f t="shared" ca="1" si="8"/>
        <v>290.60000000000002</v>
      </c>
      <c r="Q93" s="55" t="s">
        <v>449</v>
      </c>
      <c r="R93">
        <f t="shared" ca="1" si="9"/>
        <v>187.1</v>
      </c>
      <c r="S93" s="54">
        <v>1</v>
      </c>
      <c r="T93" s="42">
        <f t="shared" ca="1" si="10"/>
        <v>221.6</v>
      </c>
      <c r="U93">
        <f t="shared" ca="1" si="11"/>
        <v>69.000000000000028</v>
      </c>
      <c r="V93" s="92"/>
      <c r="W93" s="90"/>
      <c r="X93" s="54">
        <v>2</v>
      </c>
      <c r="Y93">
        <f t="shared" ca="1" si="12"/>
        <v>0</v>
      </c>
      <c r="Z93" s="117"/>
      <c r="AA93" s="117">
        <f t="shared" ca="1" si="13"/>
        <v>69</v>
      </c>
      <c r="AB93" s="117">
        <f>LOOKUP(I93,'Pattern lookup'!$A$4:$A$21,'Pattern lookup'!$H$4:$H$21)*X93</f>
        <v>24</v>
      </c>
    </row>
    <row r="94" spans="1:28" ht="15" customHeight="1" x14ac:dyDescent="0.2">
      <c r="A94" s="91">
        <v>1</v>
      </c>
      <c r="B94" s="47" t="s">
        <v>254</v>
      </c>
      <c r="C94" s="47" t="s">
        <v>259</v>
      </c>
      <c r="D94" s="8" t="s">
        <v>173</v>
      </c>
      <c r="E94" s="8" t="s">
        <v>174</v>
      </c>
      <c r="F94" s="114" t="s">
        <v>108</v>
      </c>
      <c r="G94" s="8" t="s">
        <v>100</v>
      </c>
      <c r="H94" s="8" t="s">
        <v>88</v>
      </c>
      <c r="I94" s="14" t="s">
        <v>48</v>
      </c>
      <c r="J94" s="69">
        <f>LOOKUP(I94,'Pattern lookup'!$A$4:$A$21,'Pattern lookup'!$F$4:$F$21)</f>
        <v>15</v>
      </c>
      <c r="K94" s="54">
        <v>10</v>
      </c>
      <c r="L94" s="13">
        <f ca="1">LOOKUP(I94,'Pattern lookup'!$A$4:$A$29,'Pattern lookup'!$C$4:$C$17)</f>
        <v>2</v>
      </c>
      <c r="M94" s="9">
        <f ca="1">LOOKUP(I94,'Pattern lookup'!$A$4:$A$29,'Pattern lookup'!$D$4:$D$17)</f>
        <v>22.5</v>
      </c>
      <c r="N94" s="9">
        <f ca="1">LOOKUP(I94,'Pattern lookup'!$A$4:$A$29,'Pattern lookup'!$E$4:$E$17)</f>
        <v>0.6</v>
      </c>
      <c r="O94" s="42">
        <f t="shared" si="7"/>
        <v>1</v>
      </c>
      <c r="P94" s="52">
        <f t="shared" ca="1" si="8"/>
        <v>30.5</v>
      </c>
      <c r="Q94" s="55" t="s">
        <v>449</v>
      </c>
      <c r="R94">
        <f t="shared" ca="1" si="9"/>
        <v>8</v>
      </c>
      <c r="S94" s="54">
        <v>1</v>
      </c>
      <c r="T94" s="42">
        <f t="shared" ca="1" si="10"/>
        <v>30.5</v>
      </c>
      <c r="U94">
        <f t="shared" ca="1" si="11"/>
        <v>0</v>
      </c>
      <c r="V94" s="8"/>
      <c r="W94" s="90"/>
      <c r="X94" s="54">
        <v>0</v>
      </c>
      <c r="Y94">
        <f t="shared" ca="1" si="12"/>
        <v>0</v>
      </c>
      <c r="Z94" s="117"/>
      <c r="AA94" s="117">
        <f t="shared" ca="1" si="13"/>
        <v>0</v>
      </c>
      <c r="AB94" s="117">
        <f>LOOKUP(I94,'Pattern lookup'!$A$4:$A$21,'Pattern lookup'!$H$4:$H$21)*X94</f>
        <v>0</v>
      </c>
    </row>
    <row r="95" spans="1:28" ht="15" hidden="1" customHeight="1" x14ac:dyDescent="0.2">
      <c r="A95" s="91">
        <v>0</v>
      </c>
      <c r="B95" s="47" t="s">
        <v>255</v>
      </c>
      <c r="C95" s="47" t="s">
        <v>259</v>
      </c>
      <c r="D95" s="45" t="s">
        <v>173</v>
      </c>
      <c r="E95" s="8" t="s">
        <v>174</v>
      </c>
      <c r="F95" s="42" t="s">
        <v>141</v>
      </c>
      <c r="G95" s="8" t="s">
        <v>142</v>
      </c>
      <c r="H95" s="8" t="s">
        <v>87</v>
      </c>
      <c r="I95" s="14" t="s">
        <v>58</v>
      </c>
      <c r="J95" s="69">
        <f>LOOKUP(I95,'Pattern lookup'!$A$4:$A$21,'Pattern lookup'!$F$4:$F$21)</f>
        <v>0</v>
      </c>
      <c r="K95" s="54">
        <v>40</v>
      </c>
      <c r="L95" s="13">
        <f ca="1">LOOKUP(I95,'Pattern lookup'!$A$4:$A$29,'Pattern lookup'!$C$4:$C$17)</f>
        <v>35</v>
      </c>
      <c r="M95" s="9">
        <f ca="1">LOOKUP(I95,'Pattern lookup'!$A$4:$A$29,'Pattern lookup'!$D$4:$D$17)</f>
        <v>0</v>
      </c>
      <c r="N95" s="9">
        <f ca="1">LOOKUP(I95,'Pattern lookup'!$A$4:$A$29,'Pattern lookup'!$E$4:$E$17)</f>
        <v>0.6</v>
      </c>
      <c r="O95" s="42">
        <f t="shared" si="7"/>
        <v>0</v>
      </c>
      <c r="P95" s="52">
        <f t="shared" si="8"/>
        <v>0</v>
      </c>
      <c r="Q95" s="55" t="s">
        <v>301</v>
      </c>
      <c r="R95">
        <f t="shared" si="9"/>
        <v>0</v>
      </c>
      <c r="S95" s="54"/>
      <c r="T95" s="42">
        <f t="shared" ca="1" si="10"/>
        <v>0</v>
      </c>
      <c r="U95">
        <f t="shared" ca="1" si="11"/>
        <v>0</v>
      </c>
      <c r="V95" s="8"/>
      <c r="W95" s="90"/>
      <c r="X95" s="54"/>
      <c r="Y95">
        <f t="shared" ca="1" si="12"/>
        <v>0</v>
      </c>
      <c r="Z95" s="117"/>
      <c r="AA95" s="117">
        <f t="shared" ca="1" si="13"/>
        <v>0</v>
      </c>
      <c r="AB95" s="117">
        <f>LOOKUP(I95,'Pattern lookup'!$A$4:$A$21,'Pattern lookup'!$H$4:$H$21)*X95</f>
        <v>0</v>
      </c>
    </row>
    <row r="96" spans="1:28" ht="15" customHeight="1" x14ac:dyDescent="0.2">
      <c r="A96" s="91">
        <v>1</v>
      </c>
      <c r="B96" s="47" t="s">
        <v>255</v>
      </c>
      <c r="C96" s="47" t="s">
        <v>259</v>
      </c>
      <c r="D96" s="8" t="s">
        <v>173</v>
      </c>
      <c r="E96" s="8" t="s">
        <v>174</v>
      </c>
      <c r="F96" s="94" t="s">
        <v>469</v>
      </c>
      <c r="G96" s="8" t="s">
        <v>142</v>
      </c>
      <c r="H96" s="8" t="s">
        <v>87</v>
      </c>
      <c r="I96" s="14" t="s">
        <v>58</v>
      </c>
      <c r="J96" s="69">
        <f>LOOKUP(I96,'Pattern lookup'!$A$4:$A$21,'Pattern lookup'!$F$4:$F$21)</f>
        <v>0</v>
      </c>
      <c r="K96" s="54">
        <v>40</v>
      </c>
      <c r="L96" s="13">
        <f ca="1">LOOKUP(I96,'Pattern lookup'!$A$4:$A$29,'Pattern lookup'!$C$4:$C$17)</f>
        <v>35</v>
      </c>
      <c r="M96" s="9">
        <f ca="1">LOOKUP(I96,'Pattern lookup'!$A$4:$A$29,'Pattern lookup'!$D$4:$D$17)</f>
        <v>0</v>
      </c>
      <c r="N96" s="9">
        <f ca="1">LOOKUP(I96,'Pattern lookup'!$A$4:$A$29,'Pattern lookup'!$E$4:$E$17)</f>
        <v>0.6</v>
      </c>
      <c r="O96" s="42">
        <f t="shared" si="7"/>
        <v>0</v>
      </c>
      <c r="P96" s="52">
        <f t="shared" ca="1" si="8"/>
        <v>59</v>
      </c>
      <c r="Q96" s="55" t="s">
        <v>449</v>
      </c>
      <c r="R96">
        <f t="shared" ca="1" si="9"/>
        <v>59</v>
      </c>
      <c r="S96" s="54"/>
      <c r="T96" s="42">
        <f t="shared" ca="1" si="10"/>
        <v>59</v>
      </c>
      <c r="U96">
        <f t="shared" ca="1" si="11"/>
        <v>0</v>
      </c>
      <c r="V96" s="8"/>
      <c r="W96" s="90"/>
      <c r="X96" s="54"/>
      <c r="Y96">
        <f t="shared" ca="1" si="12"/>
        <v>0</v>
      </c>
      <c r="Z96" s="117"/>
      <c r="AA96" s="117">
        <f t="shared" ca="1" si="13"/>
        <v>0</v>
      </c>
      <c r="AB96" s="117">
        <f>LOOKUP(I96,'Pattern lookup'!$A$4:$A$21,'Pattern lookup'!$H$4:$H$21)*X96</f>
        <v>0</v>
      </c>
    </row>
    <row r="97" spans="1:28" ht="15" hidden="1" customHeight="1" x14ac:dyDescent="0.2">
      <c r="A97" s="91">
        <v>0</v>
      </c>
      <c r="B97" s="47" t="s">
        <v>255</v>
      </c>
      <c r="C97" s="47" t="s">
        <v>259</v>
      </c>
      <c r="D97" s="8" t="s">
        <v>173</v>
      </c>
      <c r="E97" s="8" t="s">
        <v>174</v>
      </c>
      <c r="F97" s="95" t="s">
        <v>144</v>
      </c>
      <c r="G97" s="8" t="s">
        <v>142</v>
      </c>
      <c r="H97" s="8" t="s">
        <v>87</v>
      </c>
      <c r="I97" s="14" t="s">
        <v>58</v>
      </c>
      <c r="J97" s="69">
        <f>LOOKUP(I97,'Pattern lookup'!$A$4:$A$21,'Pattern lookup'!$F$4:$F$21)</f>
        <v>0</v>
      </c>
      <c r="K97" s="54">
        <v>40</v>
      </c>
      <c r="L97" s="13">
        <f ca="1">LOOKUP(I97,'Pattern lookup'!$A$4:$A$29,'Pattern lookup'!$C$4:$C$17)</f>
        <v>35</v>
      </c>
      <c r="M97" s="9">
        <f ca="1">LOOKUP(I97,'Pattern lookup'!$A$4:$A$29,'Pattern lookup'!$D$4:$D$17)</f>
        <v>0</v>
      </c>
      <c r="N97" s="9">
        <f ca="1">LOOKUP(I97,'Pattern lookup'!$A$4:$A$29,'Pattern lookup'!$E$4:$E$17)</f>
        <v>0.6</v>
      </c>
      <c r="O97" s="42">
        <f t="shared" si="7"/>
        <v>0</v>
      </c>
      <c r="P97" s="52">
        <f t="shared" si="8"/>
        <v>0</v>
      </c>
      <c r="Q97" s="55" t="s">
        <v>301</v>
      </c>
      <c r="R97">
        <f t="shared" si="9"/>
        <v>0</v>
      </c>
      <c r="S97" s="54"/>
      <c r="T97" s="42">
        <f t="shared" ca="1" si="10"/>
        <v>0</v>
      </c>
      <c r="U97">
        <f t="shared" ca="1" si="11"/>
        <v>0</v>
      </c>
      <c r="V97" s="8"/>
      <c r="W97" s="90"/>
      <c r="X97" s="54"/>
      <c r="Y97">
        <f t="shared" ca="1" si="12"/>
        <v>0</v>
      </c>
      <c r="Z97" s="117"/>
      <c r="AA97" s="117">
        <f t="shared" ca="1" si="13"/>
        <v>0</v>
      </c>
      <c r="AB97" s="117">
        <f>LOOKUP(I97,'Pattern lookup'!$A$4:$A$21,'Pattern lookup'!$H$4:$H$21)*X97</f>
        <v>0</v>
      </c>
    </row>
    <row r="98" spans="1:28" ht="15" hidden="1" customHeight="1" x14ac:dyDescent="0.2">
      <c r="A98" s="91">
        <v>0</v>
      </c>
      <c r="B98" s="47" t="s">
        <v>255</v>
      </c>
      <c r="C98" s="47" t="s">
        <v>259</v>
      </c>
      <c r="D98" s="8" t="s">
        <v>173</v>
      </c>
      <c r="E98" s="8" t="s">
        <v>174</v>
      </c>
      <c r="F98" s="99" t="s">
        <v>424</v>
      </c>
      <c r="G98" s="8" t="s">
        <v>101</v>
      </c>
      <c r="H98" s="8" t="s">
        <v>87</v>
      </c>
      <c r="I98" s="14" t="s">
        <v>426</v>
      </c>
      <c r="J98" s="69">
        <f>LOOKUP(I98,'Pattern lookup'!$A$4:$A$21,'Pattern lookup'!$F$4:$F$21)</f>
        <v>0</v>
      </c>
      <c r="K98" s="54">
        <v>10</v>
      </c>
      <c r="L98" s="13">
        <f ca="1">LOOKUP(I98,'Pattern lookup'!$A$4:$A$29,'Pattern lookup'!$C$4:$C$17)</f>
        <v>37</v>
      </c>
      <c r="M98" s="9">
        <f ca="1">LOOKUP(I98,'Pattern lookup'!$A$4:$A$29,'Pattern lookup'!$D$4:$D$17)</f>
        <v>0</v>
      </c>
      <c r="N98" s="9">
        <f ca="1">LOOKUP(I98,'Pattern lookup'!$A$4:$A$29,'Pattern lookup'!$E$4:$E$17)</f>
        <v>0.35</v>
      </c>
      <c r="O98" s="42">
        <f t="shared" si="7"/>
        <v>0</v>
      </c>
      <c r="P98" s="52">
        <f t="shared" si="8"/>
        <v>0</v>
      </c>
      <c r="Q98" s="55" t="s">
        <v>301</v>
      </c>
      <c r="R98">
        <f t="shared" si="9"/>
        <v>0</v>
      </c>
      <c r="S98" s="54"/>
      <c r="T98" s="41">
        <f t="shared" ca="1" si="10"/>
        <v>0</v>
      </c>
      <c r="U98">
        <f t="shared" ca="1" si="11"/>
        <v>0</v>
      </c>
      <c r="V98" s="8"/>
      <c r="W98" s="90"/>
      <c r="X98" s="54"/>
      <c r="Y98">
        <f t="shared" ca="1" si="12"/>
        <v>0</v>
      </c>
      <c r="Z98" s="117"/>
      <c r="AA98" s="117">
        <f t="shared" ca="1" si="13"/>
        <v>0</v>
      </c>
      <c r="AB98" s="117">
        <f>LOOKUP(I98,'Pattern lookup'!$A$4:$A$21,'Pattern lookup'!$H$4:$H$21)*X98</f>
        <v>0</v>
      </c>
    </row>
    <row r="99" spans="1:28" ht="15" customHeight="1" x14ac:dyDescent="0.2">
      <c r="A99" s="91">
        <v>1</v>
      </c>
      <c r="B99" s="47" t="s">
        <v>254</v>
      </c>
      <c r="C99" s="47" t="s">
        <v>259</v>
      </c>
      <c r="D99" s="8" t="s">
        <v>175</v>
      </c>
      <c r="E99" s="8" t="s">
        <v>176</v>
      </c>
      <c r="F99" s="114" t="s">
        <v>108</v>
      </c>
      <c r="G99" s="8" t="s">
        <v>100</v>
      </c>
      <c r="H99" s="8" t="s">
        <v>87</v>
      </c>
      <c r="I99" s="14" t="s">
        <v>47</v>
      </c>
      <c r="J99" s="69">
        <f>LOOKUP(I99,'Pattern lookup'!$A$4:$A$21,'Pattern lookup'!$F$4:$F$21)</f>
        <v>15</v>
      </c>
      <c r="K99" s="54">
        <v>28</v>
      </c>
      <c r="L99" s="13">
        <f ca="1">LOOKUP(I99,'Pattern lookup'!$A$4:$A$29,'Pattern lookup'!$C$4:$C$17)</f>
        <v>164</v>
      </c>
      <c r="M99" s="9">
        <f ca="1">LOOKUP(I99,'Pattern lookup'!$A$4:$A$29,'Pattern lookup'!$D$4:$D$17)</f>
        <v>34.5</v>
      </c>
      <c r="N99" s="9">
        <f ca="1">LOOKUP(I99,'Pattern lookup'!$A$4:$A$29,'Pattern lookup'!$E$4:$E$17)</f>
        <v>0.7</v>
      </c>
      <c r="O99" s="42">
        <f t="shared" si="7"/>
        <v>2</v>
      </c>
      <c r="P99" s="52">
        <f t="shared" ca="1" si="8"/>
        <v>252.6</v>
      </c>
      <c r="Q99" s="56" t="s">
        <v>464</v>
      </c>
      <c r="R99">
        <f t="shared" ca="1" si="9"/>
        <v>183.6</v>
      </c>
      <c r="S99" s="54"/>
      <c r="T99" s="42">
        <f t="shared" ca="1" si="10"/>
        <v>183.6</v>
      </c>
      <c r="U99">
        <f t="shared" ca="1" si="11"/>
        <v>69</v>
      </c>
      <c r="V99" s="8"/>
      <c r="W99" s="90"/>
      <c r="X99" s="54">
        <v>2</v>
      </c>
      <c r="Y99">
        <f t="shared" ca="1" si="12"/>
        <v>0</v>
      </c>
      <c r="Z99" s="117"/>
      <c r="AA99" s="117">
        <f t="shared" ca="1" si="13"/>
        <v>69</v>
      </c>
      <c r="AB99" s="117">
        <f>LOOKUP(I99,'Pattern lookup'!$A$4:$A$21,'Pattern lookup'!$H$4:$H$21)*X99</f>
        <v>24</v>
      </c>
    </row>
    <row r="100" spans="1:28" ht="15" customHeight="1" x14ac:dyDescent="0.2">
      <c r="A100" s="91">
        <v>1</v>
      </c>
      <c r="B100" s="47" t="s">
        <v>254</v>
      </c>
      <c r="C100" s="47" t="s">
        <v>259</v>
      </c>
      <c r="D100" s="8" t="s">
        <v>175</v>
      </c>
      <c r="E100" s="8" t="s">
        <v>176</v>
      </c>
      <c r="F100" s="114" t="s">
        <v>108</v>
      </c>
      <c r="G100" s="8" t="s">
        <v>100</v>
      </c>
      <c r="H100" s="8" t="s">
        <v>88</v>
      </c>
      <c r="I100" s="14" t="s">
        <v>48</v>
      </c>
      <c r="J100" s="69">
        <f>LOOKUP(I100,'Pattern lookup'!$A$4:$A$21,'Pattern lookup'!$F$4:$F$21)</f>
        <v>15</v>
      </c>
      <c r="K100" s="54">
        <v>5</v>
      </c>
      <c r="L100" s="13">
        <f ca="1">LOOKUP(I100,'Pattern lookup'!$A$4:$A$29,'Pattern lookup'!$C$4:$C$17)</f>
        <v>2</v>
      </c>
      <c r="M100" s="9">
        <f ca="1">LOOKUP(I100,'Pattern lookup'!$A$4:$A$29,'Pattern lookup'!$D$4:$D$17)</f>
        <v>22.5</v>
      </c>
      <c r="N100" s="9">
        <f ca="1">LOOKUP(I100,'Pattern lookup'!$A$4:$A$29,'Pattern lookup'!$E$4:$E$17)</f>
        <v>0.6</v>
      </c>
      <c r="O100" s="42">
        <f t="shared" si="7"/>
        <v>1</v>
      </c>
      <c r="P100" s="52">
        <f t="shared" ca="1" si="8"/>
        <v>27.5</v>
      </c>
      <c r="Q100" s="56" t="s">
        <v>464</v>
      </c>
      <c r="R100">
        <f t="shared" ca="1" si="9"/>
        <v>5</v>
      </c>
      <c r="S100" s="54"/>
      <c r="T100" s="42">
        <f t="shared" ca="1" si="10"/>
        <v>5</v>
      </c>
      <c r="U100">
        <f t="shared" ca="1" si="11"/>
        <v>22.5</v>
      </c>
      <c r="V100" s="8"/>
      <c r="W100" s="90"/>
      <c r="X100" s="54">
        <v>1</v>
      </c>
      <c r="Y100">
        <f t="shared" ca="1" si="12"/>
        <v>0</v>
      </c>
      <c r="Z100" s="117"/>
      <c r="AA100" s="117">
        <f t="shared" ca="1" si="13"/>
        <v>22.5</v>
      </c>
      <c r="AB100" s="117">
        <f>LOOKUP(I100,'Pattern lookup'!$A$4:$A$21,'Pattern lookup'!$H$4:$H$21)*X100</f>
        <v>12</v>
      </c>
    </row>
    <row r="101" spans="1:28" ht="15" customHeight="1" x14ac:dyDescent="0.2">
      <c r="A101" s="91">
        <v>1</v>
      </c>
      <c r="B101" s="47" t="s">
        <v>254</v>
      </c>
      <c r="C101" s="47" t="s">
        <v>259</v>
      </c>
      <c r="D101" s="8" t="s">
        <v>226</v>
      </c>
      <c r="E101" s="8" t="s">
        <v>230</v>
      </c>
      <c r="F101" s="93" t="s">
        <v>99</v>
      </c>
      <c r="G101" s="8" t="s">
        <v>100</v>
      </c>
      <c r="H101" s="8" t="s">
        <v>87</v>
      </c>
      <c r="I101" s="14" t="s">
        <v>47</v>
      </c>
      <c r="J101" s="69">
        <f>LOOKUP(I101,'Pattern lookup'!$A$4:$A$21,'Pattern lookup'!$F$4:$F$21)</f>
        <v>15</v>
      </c>
      <c r="K101" s="54">
        <v>30</v>
      </c>
      <c r="L101" s="13">
        <f ca="1">LOOKUP(I101,'Pattern lookup'!$A$4:$A$29,'Pattern lookup'!$C$4:$C$17)</f>
        <v>164</v>
      </c>
      <c r="M101" s="9">
        <f ca="1">LOOKUP(I101,'Pattern lookup'!$A$4:$A$29,'Pattern lookup'!$D$4:$D$17)</f>
        <v>34.5</v>
      </c>
      <c r="N101" s="9">
        <f ca="1">LOOKUP(I101,'Pattern lookup'!$A$4:$A$29,'Pattern lookup'!$E$4:$E$17)</f>
        <v>0.7</v>
      </c>
      <c r="O101" s="42">
        <f t="shared" si="7"/>
        <v>2</v>
      </c>
      <c r="P101" s="52">
        <f t="shared" ca="1" si="8"/>
        <v>254</v>
      </c>
      <c r="Q101" s="56" t="s">
        <v>465</v>
      </c>
      <c r="R101">
        <f t="shared" ca="1" si="9"/>
        <v>185</v>
      </c>
      <c r="S101" s="54">
        <v>2</v>
      </c>
      <c r="T101" s="42">
        <f t="shared" ca="1" si="10"/>
        <v>254</v>
      </c>
      <c r="U101">
        <f t="shared" ca="1" si="11"/>
        <v>0</v>
      </c>
      <c r="V101" s="92"/>
      <c r="W101" s="90"/>
      <c r="X101" s="54"/>
      <c r="Y101">
        <f t="shared" ca="1" si="12"/>
        <v>0</v>
      </c>
      <c r="Z101" s="117"/>
      <c r="AA101" s="117">
        <f t="shared" ca="1" si="13"/>
        <v>0</v>
      </c>
      <c r="AB101" s="117">
        <f>LOOKUP(I101,'Pattern lookup'!$A$4:$A$21,'Pattern lookup'!$H$4:$H$21)*X101</f>
        <v>0</v>
      </c>
    </row>
    <row r="102" spans="1:28" ht="15" customHeight="1" x14ac:dyDescent="0.2">
      <c r="A102" s="91">
        <v>1</v>
      </c>
      <c r="B102" s="47" t="s">
        <v>254</v>
      </c>
      <c r="C102" s="47" t="s">
        <v>259</v>
      </c>
      <c r="D102" s="8" t="s">
        <v>226</v>
      </c>
      <c r="E102" s="8" t="s">
        <v>230</v>
      </c>
      <c r="F102" s="93" t="s">
        <v>99</v>
      </c>
      <c r="G102" s="8" t="s">
        <v>100</v>
      </c>
      <c r="H102" s="8" t="s">
        <v>88</v>
      </c>
      <c r="I102" s="14" t="s">
        <v>48</v>
      </c>
      <c r="J102" s="69">
        <f>LOOKUP(I102,'Pattern lookup'!$A$4:$A$21,'Pattern lookup'!$F$4:$F$21)</f>
        <v>15</v>
      </c>
      <c r="K102" s="54">
        <v>11</v>
      </c>
      <c r="L102" s="13">
        <f ca="1">LOOKUP(I102,'Pattern lookup'!$A$4:$A$29,'Pattern lookup'!$C$4:$C$17)</f>
        <v>2</v>
      </c>
      <c r="M102" s="9">
        <f ca="1">LOOKUP(I102,'Pattern lookup'!$A$4:$A$29,'Pattern lookup'!$D$4:$D$17)</f>
        <v>22.5</v>
      </c>
      <c r="N102" s="9">
        <f ca="1">LOOKUP(I102,'Pattern lookup'!$A$4:$A$29,'Pattern lookup'!$E$4:$E$17)</f>
        <v>0.6</v>
      </c>
      <c r="O102" s="42">
        <f t="shared" si="7"/>
        <v>1</v>
      </c>
      <c r="P102" s="52">
        <f t="shared" ca="1" si="8"/>
        <v>31.1</v>
      </c>
      <c r="Q102" s="56" t="s">
        <v>465</v>
      </c>
      <c r="R102">
        <f t="shared" ca="1" si="9"/>
        <v>8.6</v>
      </c>
      <c r="S102" s="54">
        <v>1</v>
      </c>
      <c r="T102" s="42">
        <f t="shared" ca="1" si="10"/>
        <v>31.1</v>
      </c>
      <c r="U102">
        <f t="shared" ca="1" si="11"/>
        <v>0</v>
      </c>
      <c r="V102" s="8"/>
      <c r="W102" s="90"/>
      <c r="X102" s="54"/>
      <c r="Y102">
        <f t="shared" ca="1" si="12"/>
        <v>0</v>
      </c>
      <c r="Z102" s="117"/>
      <c r="AA102" s="117">
        <f t="shared" ca="1" si="13"/>
        <v>0</v>
      </c>
      <c r="AB102" s="117">
        <f>LOOKUP(I102,'Pattern lookup'!$A$4:$A$21,'Pattern lookup'!$H$4:$H$21)*X102</f>
        <v>0</v>
      </c>
    </row>
    <row r="103" spans="1:28" x14ac:dyDescent="0.2">
      <c r="A103" s="91">
        <v>1</v>
      </c>
      <c r="B103" s="47" t="s">
        <v>255</v>
      </c>
      <c r="C103" s="47" t="s">
        <v>259</v>
      </c>
      <c r="D103" s="8" t="s">
        <v>226</v>
      </c>
      <c r="E103" s="8" t="s">
        <v>230</v>
      </c>
      <c r="F103" s="42" t="s">
        <v>445</v>
      </c>
      <c r="G103" s="8" t="s">
        <v>142</v>
      </c>
      <c r="H103" s="8" t="s">
        <v>87</v>
      </c>
      <c r="I103" s="14" t="s">
        <v>58</v>
      </c>
      <c r="J103" s="69">
        <f>LOOKUP(I103,'Pattern lookup'!$A$4:$A$21,'Pattern lookup'!$F$4:$F$21)</f>
        <v>0</v>
      </c>
      <c r="K103" s="54">
        <v>40</v>
      </c>
      <c r="L103" s="13">
        <f ca="1">LOOKUP(I103,'Pattern lookup'!$A$4:$A$29,'Pattern lookup'!$C$4:$C$17)</f>
        <v>35</v>
      </c>
      <c r="M103" s="9">
        <f ca="1">LOOKUP(I103,'Pattern lookup'!$A$4:$A$29,'Pattern lookup'!$D$4:$D$17)</f>
        <v>0</v>
      </c>
      <c r="N103" s="9">
        <f ca="1">LOOKUP(I103,'Pattern lookup'!$A$4:$A$29,'Pattern lookup'!$E$4:$E$17)</f>
        <v>0.6</v>
      </c>
      <c r="O103" s="42">
        <f t="shared" si="7"/>
        <v>0</v>
      </c>
      <c r="P103" s="52">
        <f t="shared" ca="1" si="8"/>
        <v>59</v>
      </c>
      <c r="Q103" s="56" t="s">
        <v>267</v>
      </c>
      <c r="R103">
        <f t="shared" si="9"/>
        <v>0</v>
      </c>
      <c r="S103" s="54"/>
      <c r="T103" s="42">
        <f t="shared" ca="1" si="10"/>
        <v>0</v>
      </c>
      <c r="U103">
        <f t="shared" ca="1" si="11"/>
        <v>59</v>
      </c>
      <c r="V103" s="8"/>
      <c r="W103" s="90"/>
      <c r="X103" s="54"/>
      <c r="Y103">
        <f t="shared" ca="1" si="12"/>
        <v>59</v>
      </c>
      <c r="Z103" s="117" t="s">
        <v>440</v>
      </c>
      <c r="AA103" s="117">
        <f t="shared" ca="1" si="13"/>
        <v>0</v>
      </c>
      <c r="AB103" s="117">
        <f>LOOKUP(I103,'Pattern lookup'!$A$4:$A$21,'Pattern lookup'!$H$4:$H$21)*X103</f>
        <v>0</v>
      </c>
    </row>
    <row r="104" spans="1:28" ht="15" customHeight="1" x14ac:dyDescent="0.2">
      <c r="A104" s="91">
        <v>1</v>
      </c>
      <c r="B104" s="47" t="s">
        <v>255</v>
      </c>
      <c r="C104" s="47" t="s">
        <v>259</v>
      </c>
      <c r="D104" s="8" t="s">
        <v>226</v>
      </c>
      <c r="E104" s="8" t="s">
        <v>230</v>
      </c>
      <c r="F104" s="95" t="s">
        <v>470</v>
      </c>
      <c r="G104" s="8" t="s">
        <v>142</v>
      </c>
      <c r="H104" s="8" t="s">
        <v>87</v>
      </c>
      <c r="I104" s="14" t="s">
        <v>58</v>
      </c>
      <c r="J104" s="69">
        <f>LOOKUP(I104,'Pattern lookup'!$A$4:$A$21,'Pattern lookup'!$F$4:$F$21)</f>
        <v>0</v>
      </c>
      <c r="K104" s="54">
        <v>40</v>
      </c>
      <c r="L104" s="13">
        <f ca="1">LOOKUP(I104,'Pattern lookup'!$A$4:$A$29,'Pattern lookup'!$C$4:$C$17)</f>
        <v>35</v>
      </c>
      <c r="M104" s="9">
        <f ca="1">LOOKUP(I104,'Pattern lookup'!$A$4:$A$29,'Pattern lookup'!$D$4:$D$17)</f>
        <v>0</v>
      </c>
      <c r="N104" s="9">
        <f ca="1">LOOKUP(I104,'Pattern lookup'!$A$4:$A$29,'Pattern lookup'!$E$4:$E$17)</f>
        <v>0.6</v>
      </c>
      <c r="O104" s="42">
        <f t="shared" si="7"/>
        <v>0</v>
      </c>
      <c r="P104" s="52">
        <f t="shared" ca="1" si="8"/>
        <v>59</v>
      </c>
      <c r="Q104" s="56" t="s">
        <v>465</v>
      </c>
      <c r="R104">
        <f t="shared" ca="1" si="9"/>
        <v>59</v>
      </c>
      <c r="S104" s="54"/>
      <c r="T104" s="42">
        <f t="shared" ca="1" si="10"/>
        <v>59</v>
      </c>
      <c r="U104">
        <f t="shared" ca="1" si="11"/>
        <v>0</v>
      </c>
      <c r="V104" s="8"/>
      <c r="W104" s="90"/>
      <c r="X104" s="54"/>
      <c r="Y104">
        <f t="shared" ca="1" si="12"/>
        <v>0</v>
      </c>
      <c r="Z104" s="117"/>
      <c r="AA104" s="117">
        <f t="shared" ca="1" si="13"/>
        <v>0</v>
      </c>
      <c r="AB104" s="117">
        <f>LOOKUP(I104,'Pattern lookup'!$A$4:$A$21,'Pattern lookup'!$H$4:$H$21)*X104</f>
        <v>0</v>
      </c>
    </row>
    <row r="105" spans="1:28" ht="15" hidden="1" customHeight="1" x14ac:dyDescent="0.2">
      <c r="A105" s="91">
        <v>0</v>
      </c>
      <c r="B105" s="47" t="s">
        <v>255</v>
      </c>
      <c r="C105" s="47" t="s">
        <v>259</v>
      </c>
      <c r="D105" s="8" t="s">
        <v>226</v>
      </c>
      <c r="E105" s="8" t="s">
        <v>230</v>
      </c>
      <c r="F105" s="100" t="s">
        <v>425</v>
      </c>
      <c r="G105" s="8" t="s">
        <v>101</v>
      </c>
      <c r="H105" s="8" t="s">
        <v>87</v>
      </c>
      <c r="I105" s="14" t="s">
        <v>426</v>
      </c>
      <c r="J105" s="69">
        <f>LOOKUP(I105,'Pattern lookup'!$A$4:$A$21,'Pattern lookup'!$F$4:$F$21)</f>
        <v>0</v>
      </c>
      <c r="K105" s="54">
        <v>10</v>
      </c>
      <c r="L105" s="13">
        <f ca="1">LOOKUP(I105,'Pattern lookup'!$A$4:$A$29,'Pattern lookup'!$C$4:$C$17)</f>
        <v>37</v>
      </c>
      <c r="M105" s="9">
        <f ca="1">LOOKUP(I105,'Pattern lookup'!$A$4:$A$29,'Pattern lookup'!$D$4:$D$17)</f>
        <v>0</v>
      </c>
      <c r="N105" s="9">
        <f ca="1">LOOKUP(I105,'Pattern lookup'!$A$4:$A$29,'Pattern lookup'!$E$4:$E$17)</f>
        <v>0.35</v>
      </c>
      <c r="O105" s="42">
        <f t="shared" si="7"/>
        <v>0</v>
      </c>
      <c r="P105" s="52">
        <f t="shared" si="8"/>
        <v>0</v>
      </c>
      <c r="Q105" s="56" t="s">
        <v>301</v>
      </c>
      <c r="R105">
        <f t="shared" si="9"/>
        <v>0</v>
      </c>
      <c r="S105" s="54"/>
      <c r="T105" s="42">
        <f t="shared" ca="1" si="10"/>
        <v>0</v>
      </c>
      <c r="U105">
        <f t="shared" ca="1" si="11"/>
        <v>0</v>
      </c>
      <c r="V105" s="8"/>
      <c r="W105" s="90"/>
      <c r="X105" s="54"/>
      <c r="Y105">
        <f t="shared" ca="1" si="12"/>
        <v>0</v>
      </c>
      <c r="Z105" s="117"/>
      <c r="AA105" s="117">
        <f t="shared" ca="1" si="13"/>
        <v>0</v>
      </c>
      <c r="AB105" s="117">
        <f>LOOKUP(I105,'Pattern lookup'!$A$4:$A$21,'Pattern lookup'!$H$4:$H$21)*X105</f>
        <v>0</v>
      </c>
    </row>
    <row r="106" spans="1:28" x14ac:dyDescent="0.2">
      <c r="A106" s="91">
        <v>1</v>
      </c>
      <c r="B106" s="47" t="s">
        <v>254</v>
      </c>
      <c r="C106" s="47" t="s">
        <v>259</v>
      </c>
      <c r="D106" s="8" t="s">
        <v>177</v>
      </c>
      <c r="E106" s="8" t="s">
        <v>178</v>
      </c>
      <c r="F106" s="114" t="s">
        <v>108</v>
      </c>
      <c r="G106" s="8" t="s">
        <v>100</v>
      </c>
      <c r="H106" s="8" t="s">
        <v>87</v>
      </c>
      <c r="I106" s="14" t="s">
        <v>47</v>
      </c>
      <c r="J106" s="69">
        <f>LOOKUP(I106,'Pattern lookup'!$A$4:$A$21,'Pattern lookup'!$F$4:$F$21)</f>
        <v>15</v>
      </c>
      <c r="K106" s="54">
        <v>29</v>
      </c>
      <c r="L106" s="13">
        <f ca="1">LOOKUP(I106,'Pattern lookup'!$A$4:$A$29,'Pattern lookup'!$C$4:$C$17)</f>
        <v>164</v>
      </c>
      <c r="M106" s="9">
        <f ca="1">LOOKUP(I106,'Pattern lookup'!$A$4:$A$29,'Pattern lookup'!$D$4:$D$17)</f>
        <v>34.5</v>
      </c>
      <c r="N106" s="9">
        <f ca="1">LOOKUP(I106,'Pattern lookup'!$A$4:$A$29,'Pattern lookup'!$E$4:$E$17)</f>
        <v>0.7</v>
      </c>
      <c r="O106" s="42">
        <f t="shared" si="7"/>
        <v>2</v>
      </c>
      <c r="P106" s="52">
        <f t="shared" ca="1" si="8"/>
        <v>253.3</v>
      </c>
      <c r="Q106" s="56" t="s">
        <v>461</v>
      </c>
      <c r="R106">
        <f t="shared" ca="1" si="9"/>
        <v>184.3</v>
      </c>
      <c r="S106" s="54"/>
      <c r="T106" s="42">
        <f t="shared" ca="1" si="10"/>
        <v>184.3</v>
      </c>
      <c r="U106">
        <f t="shared" ca="1" si="11"/>
        <v>69</v>
      </c>
      <c r="V106" s="8"/>
      <c r="W106" s="90"/>
      <c r="X106" s="54">
        <v>2</v>
      </c>
      <c r="Y106">
        <f t="shared" ca="1" si="12"/>
        <v>0</v>
      </c>
      <c r="Z106" s="117"/>
      <c r="AA106" s="117">
        <f t="shared" ca="1" si="13"/>
        <v>69</v>
      </c>
      <c r="AB106" s="117">
        <f>LOOKUP(I106,'Pattern lookup'!$A$4:$A$21,'Pattern lookup'!$H$4:$H$21)*X106</f>
        <v>24</v>
      </c>
    </row>
    <row r="107" spans="1:28" x14ac:dyDescent="0.2">
      <c r="A107" s="91">
        <v>1</v>
      </c>
      <c r="B107" s="47" t="s">
        <v>254</v>
      </c>
      <c r="C107" s="47" t="s">
        <v>259</v>
      </c>
      <c r="D107" s="8" t="s">
        <v>177</v>
      </c>
      <c r="E107" s="8" t="s">
        <v>178</v>
      </c>
      <c r="F107" s="114" t="s">
        <v>108</v>
      </c>
      <c r="G107" s="8" t="s">
        <v>100</v>
      </c>
      <c r="H107" s="8" t="s">
        <v>88</v>
      </c>
      <c r="I107" s="14" t="s">
        <v>48</v>
      </c>
      <c r="J107" s="69">
        <f>LOOKUP(I107,'Pattern lookup'!$A$4:$A$21,'Pattern lookup'!$F$4:$F$21)</f>
        <v>15</v>
      </c>
      <c r="K107" s="54">
        <v>5</v>
      </c>
      <c r="L107" s="13">
        <f ca="1">LOOKUP(I107,'Pattern lookup'!$A$4:$A$29,'Pattern lookup'!$C$4:$C$17)</f>
        <v>2</v>
      </c>
      <c r="M107" s="9">
        <f ca="1">LOOKUP(I107,'Pattern lookup'!$A$4:$A$29,'Pattern lookup'!$D$4:$D$17)</f>
        <v>22.5</v>
      </c>
      <c r="N107" s="9">
        <f ca="1">LOOKUP(I107,'Pattern lookup'!$A$4:$A$29,'Pattern lookup'!$E$4:$E$17)</f>
        <v>0.6</v>
      </c>
      <c r="O107" s="42">
        <f t="shared" si="7"/>
        <v>1</v>
      </c>
      <c r="P107" s="52">
        <f t="shared" ca="1" si="8"/>
        <v>27.5</v>
      </c>
      <c r="Q107" s="56" t="s">
        <v>461</v>
      </c>
      <c r="R107">
        <f t="shared" ca="1" si="9"/>
        <v>5</v>
      </c>
      <c r="S107" s="54"/>
      <c r="T107" s="42">
        <f t="shared" ca="1" si="10"/>
        <v>5</v>
      </c>
      <c r="U107">
        <f t="shared" ca="1" si="11"/>
        <v>22.5</v>
      </c>
      <c r="V107" s="8"/>
      <c r="W107" s="90"/>
      <c r="X107" s="54">
        <v>1</v>
      </c>
      <c r="Y107">
        <f t="shared" ca="1" si="12"/>
        <v>0</v>
      </c>
      <c r="Z107" s="117"/>
      <c r="AA107" s="117">
        <f t="shared" ca="1" si="13"/>
        <v>22.5</v>
      </c>
      <c r="AB107" s="117">
        <f>LOOKUP(I107,'Pattern lookup'!$A$4:$A$21,'Pattern lookup'!$H$4:$H$21)*X107</f>
        <v>12</v>
      </c>
    </row>
    <row r="108" spans="1:28" ht="15" customHeight="1" x14ac:dyDescent="0.2">
      <c r="A108" s="91">
        <v>1</v>
      </c>
      <c r="B108" s="47" t="s">
        <v>254</v>
      </c>
      <c r="C108" s="47" t="s">
        <v>259</v>
      </c>
      <c r="D108" s="8" t="s">
        <v>179</v>
      </c>
      <c r="E108" s="8" t="s">
        <v>180</v>
      </c>
      <c r="F108" s="93" t="s">
        <v>99</v>
      </c>
      <c r="G108" s="8" t="s">
        <v>100</v>
      </c>
      <c r="H108" s="8" t="s">
        <v>87</v>
      </c>
      <c r="I108" s="14" t="s">
        <v>47</v>
      </c>
      <c r="J108" s="69">
        <f>LOOKUP(I108,'Pattern lookup'!$A$4:$A$21,'Pattern lookup'!$F$4:$F$21)</f>
        <v>15</v>
      </c>
      <c r="K108" s="54">
        <v>28</v>
      </c>
      <c r="L108" s="13">
        <f ca="1">LOOKUP(I108,'Pattern lookup'!$A$4:$A$29,'Pattern lookup'!$C$4:$C$17)</f>
        <v>164</v>
      </c>
      <c r="M108" s="9">
        <f ca="1">LOOKUP(I108,'Pattern lookup'!$A$4:$A$29,'Pattern lookup'!$D$4:$D$17)</f>
        <v>34.5</v>
      </c>
      <c r="N108" s="9">
        <f ca="1">LOOKUP(I108,'Pattern lookup'!$A$4:$A$29,'Pattern lookup'!$E$4:$E$17)</f>
        <v>0.7</v>
      </c>
      <c r="O108" s="42">
        <f t="shared" si="7"/>
        <v>2</v>
      </c>
      <c r="P108" s="52">
        <f t="shared" ca="1" si="8"/>
        <v>252.6</v>
      </c>
      <c r="Q108" s="56" t="s">
        <v>460</v>
      </c>
      <c r="R108">
        <f t="shared" ca="1" si="9"/>
        <v>183.6</v>
      </c>
      <c r="S108" s="54">
        <v>1</v>
      </c>
      <c r="T108" s="42">
        <f t="shared" ca="1" si="10"/>
        <v>218.1</v>
      </c>
      <c r="U108">
        <f t="shared" ca="1" si="11"/>
        <v>34.5</v>
      </c>
      <c r="V108" s="8"/>
      <c r="W108" s="90"/>
      <c r="X108" s="54">
        <v>1</v>
      </c>
      <c r="Y108">
        <f t="shared" ca="1" si="12"/>
        <v>0</v>
      </c>
      <c r="Z108" s="117"/>
      <c r="AA108" s="117">
        <f t="shared" ca="1" si="13"/>
        <v>34.5</v>
      </c>
      <c r="AB108" s="117">
        <f>LOOKUP(I108,'Pattern lookup'!$A$4:$A$21,'Pattern lookup'!$H$4:$H$21)*X108</f>
        <v>12</v>
      </c>
    </row>
    <row r="109" spans="1:28" ht="15" customHeight="1" x14ac:dyDescent="0.2">
      <c r="A109" s="91">
        <v>1</v>
      </c>
      <c r="B109" s="47" t="s">
        <v>254</v>
      </c>
      <c r="C109" s="47" t="s">
        <v>259</v>
      </c>
      <c r="D109" s="8" t="s">
        <v>179</v>
      </c>
      <c r="E109" s="8" t="s">
        <v>180</v>
      </c>
      <c r="F109" s="93" t="s">
        <v>99</v>
      </c>
      <c r="G109" s="8" t="s">
        <v>100</v>
      </c>
      <c r="H109" s="8" t="s">
        <v>88</v>
      </c>
      <c r="I109" s="14" t="s">
        <v>48</v>
      </c>
      <c r="J109" s="69">
        <f>LOOKUP(I109,'Pattern lookup'!$A$4:$A$21,'Pattern lookup'!$F$4:$F$21)</f>
        <v>15</v>
      </c>
      <c r="K109" s="54">
        <v>5</v>
      </c>
      <c r="L109" s="13">
        <f ca="1">LOOKUP(I109,'Pattern lookup'!$A$4:$A$29,'Pattern lookup'!$C$4:$C$17)</f>
        <v>2</v>
      </c>
      <c r="M109" s="9">
        <f ca="1">LOOKUP(I109,'Pattern lookup'!$A$4:$A$29,'Pattern lookup'!$D$4:$D$17)</f>
        <v>22.5</v>
      </c>
      <c r="N109" s="9">
        <f ca="1">LOOKUP(I109,'Pattern lookup'!$A$4:$A$29,'Pattern lookup'!$E$4:$E$17)</f>
        <v>0.6</v>
      </c>
      <c r="O109" s="42">
        <f t="shared" si="7"/>
        <v>1</v>
      </c>
      <c r="P109" s="52">
        <f t="shared" ca="1" si="8"/>
        <v>27.5</v>
      </c>
      <c r="Q109" s="56" t="s">
        <v>460</v>
      </c>
      <c r="R109">
        <f t="shared" ca="1" si="9"/>
        <v>5</v>
      </c>
      <c r="S109" s="54"/>
      <c r="T109" s="41">
        <f t="shared" ca="1" si="10"/>
        <v>5</v>
      </c>
      <c r="U109">
        <f t="shared" ca="1" si="11"/>
        <v>22.5</v>
      </c>
      <c r="V109" s="92"/>
      <c r="W109" s="90"/>
      <c r="X109" s="54">
        <v>1</v>
      </c>
      <c r="Y109">
        <f t="shared" ca="1" si="12"/>
        <v>0</v>
      </c>
      <c r="Z109" s="117"/>
      <c r="AA109" s="117">
        <f t="shared" ca="1" si="13"/>
        <v>22.5</v>
      </c>
      <c r="AB109" s="117">
        <f>LOOKUP(I109,'Pattern lookup'!$A$4:$A$21,'Pattern lookup'!$H$4:$H$21)*X109</f>
        <v>12</v>
      </c>
    </row>
    <row r="110" spans="1:28" ht="15" customHeight="1" x14ac:dyDescent="0.2">
      <c r="A110" s="91">
        <v>1</v>
      </c>
      <c r="B110" s="47" t="s">
        <v>254</v>
      </c>
      <c r="C110" s="47" t="s">
        <v>259</v>
      </c>
      <c r="D110" s="8" t="s">
        <v>181</v>
      </c>
      <c r="E110" s="8" t="s">
        <v>182</v>
      </c>
      <c r="F110" s="114" t="s">
        <v>108</v>
      </c>
      <c r="G110" s="8" t="s">
        <v>100</v>
      </c>
      <c r="H110" s="8" t="s">
        <v>87</v>
      </c>
      <c r="I110" s="14" t="s">
        <v>277</v>
      </c>
      <c r="J110" s="69">
        <f>LOOKUP(I110,'Pattern lookup'!$A$4:$A$21,'Pattern lookup'!$F$4:$F$21)</f>
        <v>6</v>
      </c>
      <c r="K110" s="54">
        <v>4</v>
      </c>
      <c r="L110" s="13">
        <f ca="1">LOOKUP(I110,'Pattern lookup'!$A$4:$A$29,'Pattern lookup'!$C$4:$C$17)</f>
        <v>122</v>
      </c>
      <c r="M110" s="9">
        <f ca="1">LOOKUP(I110,'Pattern lookup'!$A$4:$A$29,'Pattern lookup'!$D$4:$D$17)</f>
        <v>17</v>
      </c>
      <c r="N110" s="9">
        <f ca="1">LOOKUP(I110,'Pattern lookup'!$A$4:$A$29,'Pattern lookup'!$E$4:$E$17)</f>
        <v>0.7</v>
      </c>
      <c r="O110" s="42">
        <f t="shared" si="7"/>
        <v>1</v>
      </c>
      <c r="P110" s="52">
        <f t="shared" ca="1" si="8"/>
        <v>141.80000000000001</v>
      </c>
      <c r="Q110" s="56" t="s">
        <v>448</v>
      </c>
      <c r="R110">
        <f t="shared" ca="1" si="9"/>
        <v>124.8</v>
      </c>
      <c r="S110" s="54"/>
      <c r="T110" s="42">
        <f t="shared" ca="1" si="10"/>
        <v>124.8</v>
      </c>
      <c r="U110">
        <f t="shared" ca="1" si="11"/>
        <v>17.000000000000014</v>
      </c>
      <c r="V110" s="8"/>
      <c r="W110" s="90"/>
      <c r="X110" s="54">
        <v>1</v>
      </c>
      <c r="Y110">
        <f t="shared" ca="1" si="12"/>
        <v>0</v>
      </c>
      <c r="Z110" s="117"/>
      <c r="AA110" s="117">
        <f t="shared" ca="1" si="13"/>
        <v>17</v>
      </c>
      <c r="AB110" s="117">
        <f>LOOKUP(I110,'Pattern lookup'!$A$4:$A$21,'Pattern lookup'!$H$4:$H$21)*X110</f>
        <v>12</v>
      </c>
    </row>
    <row r="111" spans="1:28" ht="15" customHeight="1" x14ac:dyDescent="0.2">
      <c r="A111" s="91">
        <v>1</v>
      </c>
      <c r="B111" s="47" t="s">
        <v>254</v>
      </c>
      <c r="C111" s="47" t="s">
        <v>259</v>
      </c>
      <c r="D111" s="8" t="s">
        <v>181</v>
      </c>
      <c r="E111" s="8" t="s">
        <v>182</v>
      </c>
      <c r="F111" s="114" t="s">
        <v>108</v>
      </c>
      <c r="G111" s="8" t="s">
        <v>100</v>
      </c>
      <c r="H111" s="8" t="s">
        <v>88</v>
      </c>
      <c r="I111" s="14" t="s">
        <v>287</v>
      </c>
      <c r="J111" s="69">
        <f>LOOKUP(I111,'Pattern lookup'!$A$4:$A$21,'Pattern lookup'!$F$4:$F$21)</f>
        <v>6</v>
      </c>
      <c r="K111" s="54">
        <v>2</v>
      </c>
      <c r="L111" s="13">
        <f ca="1">LOOKUP(I111,'Pattern lookup'!$A$4:$A$29,'Pattern lookup'!$C$4:$C$17)</f>
        <v>2</v>
      </c>
      <c r="M111" s="9">
        <f ca="1">LOOKUP(I111,'Pattern lookup'!$A$4:$A$29,'Pattern lookup'!$D$4:$D$17)</f>
        <v>17</v>
      </c>
      <c r="N111" s="9">
        <f ca="1">LOOKUP(I111,'Pattern lookup'!$A$4:$A$29,'Pattern lookup'!$E$4:$E$17)</f>
        <v>0.7</v>
      </c>
      <c r="O111" s="42">
        <f>IF(J111&gt;0, ROUNDUP(K111/J111,0), 0)</f>
        <v>1</v>
      </c>
      <c r="P111" s="52">
        <f t="shared" ca="1" si="8"/>
        <v>20.399999999999999</v>
      </c>
      <c r="Q111" s="56" t="s">
        <v>448</v>
      </c>
      <c r="R111">
        <f t="shared" ca="1" si="9"/>
        <v>3.4</v>
      </c>
      <c r="S111" s="54"/>
      <c r="T111" s="42">
        <f t="shared" ca="1" si="10"/>
        <v>3.4</v>
      </c>
      <c r="U111">
        <f t="shared" ca="1" si="11"/>
        <v>17</v>
      </c>
      <c r="V111" s="8"/>
      <c r="W111" s="90"/>
      <c r="X111" s="54">
        <v>1</v>
      </c>
      <c r="Y111">
        <f t="shared" ca="1" si="12"/>
        <v>0</v>
      </c>
      <c r="Z111" s="117"/>
      <c r="AA111" s="117">
        <f t="shared" ca="1" si="13"/>
        <v>17</v>
      </c>
      <c r="AB111" s="117">
        <f>LOOKUP(I111,'Pattern lookup'!$A$4:$A$21,'Pattern lookup'!$H$4:$H$21)*X111</f>
        <v>12</v>
      </c>
    </row>
    <row r="112" spans="1:28" ht="15" customHeight="1" x14ac:dyDescent="0.2">
      <c r="A112" s="91">
        <v>1</v>
      </c>
      <c r="B112" s="47" t="s">
        <v>254</v>
      </c>
      <c r="C112" s="47" t="s">
        <v>259</v>
      </c>
      <c r="D112" s="8" t="s">
        <v>181</v>
      </c>
      <c r="E112" s="8" t="s">
        <v>182</v>
      </c>
      <c r="F112" s="93" t="s">
        <v>99</v>
      </c>
      <c r="G112" s="8" t="s">
        <v>100</v>
      </c>
      <c r="H112" s="8" t="s">
        <v>87</v>
      </c>
      <c r="I112" s="14" t="s">
        <v>277</v>
      </c>
      <c r="J112" s="69">
        <f>LOOKUP(I112,'Pattern lookup'!$A$4:$A$21,'Pattern lookup'!$F$4:$F$21)</f>
        <v>6</v>
      </c>
      <c r="K112" s="54">
        <v>20</v>
      </c>
      <c r="L112" s="13">
        <f ca="1">LOOKUP(I112,'Pattern lookup'!$A$4:$A$29,'Pattern lookup'!$C$4:$C$17)</f>
        <v>122</v>
      </c>
      <c r="M112" s="9">
        <f ca="1">LOOKUP(I112,'Pattern lookup'!$A$4:$A$29,'Pattern lookup'!$D$4:$D$17)</f>
        <v>17</v>
      </c>
      <c r="N112" s="9">
        <f ca="1">LOOKUP(I112,'Pattern lookup'!$A$4:$A$29,'Pattern lookup'!$E$4:$E$17)</f>
        <v>0.7</v>
      </c>
      <c r="O112" s="42">
        <f t="shared" si="7"/>
        <v>4</v>
      </c>
      <c r="P112" s="52">
        <f t="shared" ca="1" si="8"/>
        <v>204</v>
      </c>
      <c r="Q112" s="56" t="s">
        <v>448</v>
      </c>
      <c r="R112">
        <f t="shared" ca="1" si="9"/>
        <v>136</v>
      </c>
      <c r="S112" s="54"/>
      <c r="T112" s="42">
        <f t="shared" ca="1" si="10"/>
        <v>136</v>
      </c>
      <c r="U112">
        <f t="shared" ca="1" si="11"/>
        <v>68</v>
      </c>
      <c r="V112" s="8"/>
      <c r="W112" s="90"/>
      <c r="X112" s="54">
        <v>4</v>
      </c>
      <c r="Y112">
        <f t="shared" ca="1" si="12"/>
        <v>0</v>
      </c>
      <c r="Z112" s="117"/>
      <c r="AA112" s="117">
        <f t="shared" ca="1" si="13"/>
        <v>68</v>
      </c>
      <c r="AB112" s="117">
        <f>LOOKUP(I112,'Pattern lookup'!$A$4:$A$21,'Pattern lookup'!$H$4:$H$21)*X112</f>
        <v>48</v>
      </c>
    </row>
    <row r="113" spans="1:28" ht="15" customHeight="1" x14ac:dyDescent="0.2">
      <c r="A113" s="91">
        <v>1</v>
      </c>
      <c r="B113" s="47" t="s">
        <v>254</v>
      </c>
      <c r="C113" s="47" t="s">
        <v>259</v>
      </c>
      <c r="D113" s="8" t="s">
        <v>181</v>
      </c>
      <c r="E113" s="8" t="s">
        <v>182</v>
      </c>
      <c r="F113" s="93" t="s">
        <v>99</v>
      </c>
      <c r="G113" s="8" t="s">
        <v>100</v>
      </c>
      <c r="H113" s="8" t="s">
        <v>88</v>
      </c>
      <c r="I113" s="14" t="s">
        <v>287</v>
      </c>
      <c r="J113" s="69">
        <f>LOOKUP(I113,'Pattern lookup'!$A$4:$A$21,'Pattern lookup'!$F$4:$F$21)</f>
        <v>6</v>
      </c>
      <c r="K113" s="54">
        <v>2</v>
      </c>
      <c r="L113" s="13">
        <f ca="1">LOOKUP(I113,'Pattern lookup'!$A$4:$A$29,'Pattern lookup'!$C$4:$C$17)</f>
        <v>2</v>
      </c>
      <c r="M113" s="9">
        <f ca="1">LOOKUP(I113,'Pattern lookup'!$A$4:$A$29,'Pattern lookup'!$D$4:$D$17)</f>
        <v>17</v>
      </c>
      <c r="N113" s="9">
        <f ca="1">LOOKUP(I113,'Pattern lookup'!$A$4:$A$29,'Pattern lookup'!$E$4:$E$17)</f>
        <v>0.7</v>
      </c>
      <c r="O113" s="42">
        <f t="shared" si="7"/>
        <v>1</v>
      </c>
      <c r="P113" s="52">
        <f t="shared" ca="1" si="8"/>
        <v>20.399999999999999</v>
      </c>
      <c r="Q113" s="56" t="s">
        <v>448</v>
      </c>
      <c r="R113">
        <f t="shared" ca="1" si="9"/>
        <v>3.4</v>
      </c>
      <c r="S113" s="54"/>
      <c r="T113" s="42">
        <f t="shared" ca="1" si="10"/>
        <v>3.4</v>
      </c>
      <c r="U113">
        <f t="shared" ca="1" si="11"/>
        <v>17</v>
      </c>
      <c r="V113" s="8"/>
      <c r="W113" s="90"/>
      <c r="X113" s="54">
        <v>1</v>
      </c>
      <c r="Y113">
        <f t="shared" ca="1" si="12"/>
        <v>0</v>
      </c>
      <c r="Z113" s="117"/>
      <c r="AA113" s="117">
        <f t="shared" ca="1" si="13"/>
        <v>17</v>
      </c>
      <c r="AB113" s="117">
        <f>LOOKUP(I113,'Pattern lookup'!$A$4:$A$21,'Pattern lookup'!$H$4:$H$21)*X113</f>
        <v>12</v>
      </c>
    </row>
    <row r="114" spans="1:28" ht="15" customHeight="1" x14ac:dyDescent="0.2">
      <c r="A114" s="91">
        <v>1</v>
      </c>
      <c r="B114" s="47" t="s">
        <v>254</v>
      </c>
      <c r="C114" s="47" t="s">
        <v>259</v>
      </c>
      <c r="D114" s="8" t="s">
        <v>189</v>
      </c>
      <c r="E114" s="8" t="s">
        <v>196</v>
      </c>
      <c r="F114" s="114" t="s">
        <v>108</v>
      </c>
      <c r="G114" s="8" t="s">
        <v>100</v>
      </c>
      <c r="H114" s="8" t="s">
        <v>87</v>
      </c>
      <c r="I114" s="14" t="s">
        <v>47</v>
      </c>
      <c r="J114" s="69">
        <f>LOOKUP(I114,'Pattern lookup'!$A$4:$A$21,'Pattern lookup'!$F$4:$F$21)</f>
        <v>15</v>
      </c>
      <c r="K114" s="54">
        <v>30</v>
      </c>
      <c r="L114" s="13">
        <f ca="1">LOOKUP(I114,'Pattern lookup'!$A$4:$A$29,'Pattern lookup'!$C$4:$C$17)</f>
        <v>164</v>
      </c>
      <c r="M114" s="9">
        <f ca="1">LOOKUP(I114,'Pattern lookup'!$A$4:$A$29,'Pattern lookup'!$D$4:$D$17)</f>
        <v>34.5</v>
      </c>
      <c r="N114" s="9">
        <f ca="1">LOOKUP(I114,'Pattern lookup'!$A$4:$A$29,'Pattern lookup'!$E$4:$E$17)</f>
        <v>0.7</v>
      </c>
      <c r="O114" s="42">
        <f t="shared" si="7"/>
        <v>2</v>
      </c>
      <c r="P114" s="52">
        <f t="shared" ca="1" si="8"/>
        <v>254</v>
      </c>
      <c r="Q114" s="56" t="s">
        <v>456</v>
      </c>
      <c r="R114">
        <f t="shared" ca="1" si="9"/>
        <v>185</v>
      </c>
      <c r="S114" s="54">
        <v>2</v>
      </c>
      <c r="T114" s="42">
        <f t="shared" ca="1" si="10"/>
        <v>254</v>
      </c>
      <c r="U114">
        <f t="shared" ca="1" si="11"/>
        <v>0</v>
      </c>
      <c r="V114" s="8"/>
      <c r="W114" s="90"/>
      <c r="X114" s="54"/>
      <c r="Y114">
        <f t="shared" ca="1" si="12"/>
        <v>0</v>
      </c>
      <c r="Z114" s="117"/>
      <c r="AA114" s="117">
        <f t="shared" ca="1" si="13"/>
        <v>0</v>
      </c>
      <c r="AB114" s="117">
        <f>LOOKUP(I114,'Pattern lookup'!$A$4:$A$21,'Pattern lookup'!$H$4:$H$21)*X114</f>
        <v>0</v>
      </c>
    </row>
    <row r="115" spans="1:28" ht="15" customHeight="1" x14ac:dyDescent="0.2">
      <c r="A115" s="91">
        <v>1</v>
      </c>
      <c r="B115" s="47" t="s">
        <v>254</v>
      </c>
      <c r="C115" s="47" t="s">
        <v>259</v>
      </c>
      <c r="D115" s="8" t="s">
        <v>189</v>
      </c>
      <c r="E115" s="8" t="s">
        <v>196</v>
      </c>
      <c r="F115" s="114" t="s">
        <v>108</v>
      </c>
      <c r="G115" s="8" t="s">
        <v>100</v>
      </c>
      <c r="H115" s="8" t="s">
        <v>88</v>
      </c>
      <c r="I115" s="14" t="s">
        <v>48</v>
      </c>
      <c r="J115" s="69">
        <f>LOOKUP(I115,'Pattern lookup'!$A$4:$A$21,'Pattern lookup'!$F$4:$F$21)</f>
        <v>15</v>
      </c>
      <c r="K115" s="54">
        <v>5</v>
      </c>
      <c r="L115" s="13">
        <f ca="1">LOOKUP(I115,'Pattern lookup'!$A$4:$A$29,'Pattern lookup'!$C$4:$C$17)</f>
        <v>2</v>
      </c>
      <c r="M115" s="9">
        <f ca="1">LOOKUP(I115,'Pattern lookup'!$A$4:$A$29,'Pattern lookup'!$D$4:$D$17)</f>
        <v>22.5</v>
      </c>
      <c r="N115" s="9">
        <f ca="1">LOOKUP(I115,'Pattern lookup'!$A$4:$A$29,'Pattern lookup'!$E$4:$E$17)</f>
        <v>0.6</v>
      </c>
      <c r="O115" s="42">
        <f t="shared" si="7"/>
        <v>1</v>
      </c>
      <c r="P115" s="52">
        <f t="shared" ca="1" si="8"/>
        <v>27.5</v>
      </c>
      <c r="Q115" s="56" t="s">
        <v>456</v>
      </c>
      <c r="R115">
        <f t="shared" ca="1" si="9"/>
        <v>5</v>
      </c>
      <c r="S115" s="54">
        <v>1</v>
      </c>
      <c r="T115" s="42">
        <f t="shared" ca="1" si="10"/>
        <v>27.5</v>
      </c>
      <c r="U115">
        <f t="shared" ca="1" si="11"/>
        <v>0</v>
      </c>
      <c r="V115" s="8"/>
      <c r="W115" s="90"/>
      <c r="X115" s="54"/>
      <c r="Y115">
        <f t="shared" ca="1" si="12"/>
        <v>0</v>
      </c>
      <c r="Z115" s="117"/>
      <c r="AA115" s="117">
        <f t="shared" ca="1" si="13"/>
        <v>0</v>
      </c>
      <c r="AB115" s="117">
        <f>LOOKUP(I115,'Pattern lookup'!$A$4:$A$21,'Pattern lookup'!$H$4:$H$21)*X115</f>
        <v>0</v>
      </c>
    </row>
    <row r="116" spans="1:28" ht="15" customHeight="1" x14ac:dyDescent="0.2">
      <c r="A116" s="91">
        <v>1</v>
      </c>
      <c r="B116" s="47" t="s">
        <v>255</v>
      </c>
      <c r="C116" s="47" t="s">
        <v>259</v>
      </c>
      <c r="D116" s="8" t="s">
        <v>189</v>
      </c>
      <c r="E116" s="8" t="s">
        <v>196</v>
      </c>
      <c r="F116" s="94" t="s">
        <v>469</v>
      </c>
      <c r="G116" s="8" t="s">
        <v>142</v>
      </c>
      <c r="H116" s="8" t="s">
        <v>87</v>
      </c>
      <c r="I116" s="14" t="s">
        <v>58</v>
      </c>
      <c r="J116" s="69">
        <f>LOOKUP(I116,'Pattern lookup'!$A$4:$A$21,'Pattern lookup'!$F$4:$F$21)</f>
        <v>0</v>
      </c>
      <c r="K116" s="54">
        <v>40</v>
      </c>
      <c r="L116" s="13">
        <f ca="1">LOOKUP(I116,'Pattern lookup'!$A$4:$A$29,'Pattern lookup'!$C$4:$C$17)</f>
        <v>35</v>
      </c>
      <c r="M116" s="9">
        <f ca="1">LOOKUP(I116,'Pattern lookup'!$A$4:$A$29,'Pattern lookup'!$D$4:$D$17)</f>
        <v>0</v>
      </c>
      <c r="N116" s="9">
        <f ca="1">LOOKUP(I116,'Pattern lookup'!$A$4:$A$29,'Pattern lookup'!$E$4:$E$17)</f>
        <v>0.6</v>
      </c>
      <c r="O116" s="42">
        <f t="shared" si="7"/>
        <v>0</v>
      </c>
      <c r="P116" s="52">
        <f t="shared" ca="1" si="8"/>
        <v>59</v>
      </c>
      <c r="Q116" s="56" t="s">
        <v>456</v>
      </c>
      <c r="R116">
        <f t="shared" ca="1" si="9"/>
        <v>59</v>
      </c>
      <c r="S116" s="54"/>
      <c r="T116" s="42">
        <f t="shared" ca="1" si="10"/>
        <v>59</v>
      </c>
      <c r="U116">
        <f t="shared" ca="1" si="11"/>
        <v>0</v>
      </c>
      <c r="V116" s="8"/>
      <c r="W116" s="90"/>
      <c r="X116" s="54"/>
      <c r="Y116">
        <f t="shared" ca="1" si="12"/>
        <v>0</v>
      </c>
      <c r="Z116" s="117"/>
      <c r="AA116" s="117">
        <f t="shared" ca="1" si="13"/>
        <v>0</v>
      </c>
      <c r="AB116" s="117">
        <f>LOOKUP(I116,'Pattern lookup'!$A$4:$A$21,'Pattern lookup'!$H$4:$H$21)*X116</f>
        <v>0</v>
      </c>
    </row>
    <row r="117" spans="1:28" ht="15" hidden="1" customHeight="1" x14ac:dyDescent="0.2">
      <c r="A117" s="91">
        <v>0</v>
      </c>
      <c r="B117" s="47" t="s">
        <v>255</v>
      </c>
      <c r="C117" s="47" t="s">
        <v>259</v>
      </c>
      <c r="D117" s="8" t="s">
        <v>189</v>
      </c>
      <c r="E117" s="8" t="s">
        <v>196</v>
      </c>
      <c r="F117" s="95" t="s">
        <v>144</v>
      </c>
      <c r="G117" s="8" t="s">
        <v>142</v>
      </c>
      <c r="H117" s="8" t="s">
        <v>87</v>
      </c>
      <c r="I117" s="14" t="s">
        <v>58</v>
      </c>
      <c r="J117" s="69">
        <f>LOOKUP(I117,'Pattern lookup'!$A$4:$A$21,'Pattern lookup'!$F$4:$F$21)</f>
        <v>0</v>
      </c>
      <c r="K117" s="54">
        <v>40</v>
      </c>
      <c r="L117" s="13">
        <f ca="1">LOOKUP(I117,'Pattern lookup'!$A$4:$A$29,'Pattern lookup'!$C$4:$C$17)</f>
        <v>35</v>
      </c>
      <c r="M117" s="9">
        <f ca="1">LOOKUP(I117,'Pattern lookup'!$A$4:$A$29,'Pattern lookup'!$D$4:$D$17)</f>
        <v>0</v>
      </c>
      <c r="N117" s="9">
        <f ca="1">LOOKUP(I117,'Pattern lookup'!$A$4:$A$29,'Pattern lookup'!$E$4:$E$17)</f>
        <v>0.6</v>
      </c>
      <c r="O117" s="42">
        <f t="shared" si="7"/>
        <v>0</v>
      </c>
      <c r="P117" s="52">
        <f t="shared" si="8"/>
        <v>0</v>
      </c>
      <c r="Q117" s="55" t="s">
        <v>301</v>
      </c>
      <c r="R117">
        <f t="shared" si="9"/>
        <v>0</v>
      </c>
      <c r="S117" s="54"/>
      <c r="T117" s="42">
        <f t="shared" ca="1" si="10"/>
        <v>0</v>
      </c>
      <c r="U117">
        <f t="shared" ca="1" si="11"/>
        <v>0</v>
      </c>
      <c r="V117" s="92"/>
      <c r="W117" s="90"/>
      <c r="X117" s="54"/>
      <c r="Y117">
        <f t="shared" ca="1" si="12"/>
        <v>0</v>
      </c>
      <c r="Z117" s="117"/>
      <c r="AA117" s="117">
        <f t="shared" ca="1" si="13"/>
        <v>0</v>
      </c>
      <c r="AB117" s="117">
        <f>LOOKUP(I117,'Pattern lookup'!$A$4:$A$21,'Pattern lookup'!$H$4:$H$21)*X117</f>
        <v>0</v>
      </c>
    </row>
    <row r="118" spans="1:28" ht="15" customHeight="1" x14ac:dyDescent="0.2">
      <c r="A118" s="91">
        <v>1</v>
      </c>
      <c r="B118" s="47" t="s">
        <v>255</v>
      </c>
      <c r="C118" s="47" t="s">
        <v>259</v>
      </c>
      <c r="D118" s="8" t="s">
        <v>189</v>
      </c>
      <c r="E118" s="8" t="s">
        <v>196</v>
      </c>
      <c r="F118" s="100" t="s">
        <v>466</v>
      </c>
      <c r="G118" s="8" t="s">
        <v>101</v>
      </c>
      <c r="H118" s="8" t="s">
        <v>87</v>
      </c>
      <c r="I118" s="14" t="s">
        <v>426</v>
      </c>
      <c r="J118" s="69">
        <f>LOOKUP(I118,'Pattern lookup'!$A$4:$A$21,'Pattern lookup'!$F$4:$F$21)</f>
        <v>0</v>
      </c>
      <c r="K118" s="54">
        <v>5</v>
      </c>
      <c r="L118" s="13">
        <f ca="1">LOOKUP(I118,'Pattern lookup'!$A$4:$A$29,'Pattern lookup'!$C$4:$C$17)</f>
        <v>37</v>
      </c>
      <c r="M118" s="9">
        <f ca="1">LOOKUP(I118,'Pattern lookup'!$A$4:$A$29,'Pattern lookup'!$D$4:$D$17)</f>
        <v>0</v>
      </c>
      <c r="N118" s="9">
        <f ca="1">LOOKUP(I118,'Pattern lookup'!$A$4:$A$29,'Pattern lookup'!$E$4:$E$17)</f>
        <v>0.35</v>
      </c>
      <c r="O118" s="42">
        <f t="shared" si="7"/>
        <v>0</v>
      </c>
      <c r="P118" s="52">
        <f t="shared" ca="1" si="8"/>
        <v>38.75</v>
      </c>
      <c r="Q118" s="56" t="s">
        <v>456</v>
      </c>
      <c r="R118">
        <f t="shared" ca="1" si="9"/>
        <v>38.75</v>
      </c>
      <c r="S118" s="54"/>
      <c r="T118" s="42">
        <f t="shared" ca="1" si="10"/>
        <v>38.75</v>
      </c>
      <c r="U118">
        <f t="shared" ca="1" si="11"/>
        <v>0</v>
      </c>
      <c r="V118" s="8"/>
      <c r="W118" s="90"/>
      <c r="X118" s="54"/>
      <c r="Y118">
        <f t="shared" ca="1" si="12"/>
        <v>0</v>
      </c>
      <c r="Z118" s="117"/>
      <c r="AA118" s="117">
        <f t="shared" ca="1" si="13"/>
        <v>0</v>
      </c>
      <c r="AB118" s="117">
        <f>LOOKUP(I118,'Pattern lookup'!$A$4:$A$21,'Pattern lookup'!$H$4:$H$21)*X118</f>
        <v>0</v>
      </c>
    </row>
    <row r="119" spans="1:28" ht="15" customHeight="1" x14ac:dyDescent="0.2">
      <c r="A119" s="91">
        <v>1</v>
      </c>
      <c r="B119" s="47" t="s">
        <v>254</v>
      </c>
      <c r="C119" s="47" t="s">
        <v>259</v>
      </c>
      <c r="D119" s="8" t="s">
        <v>217</v>
      </c>
      <c r="E119" s="8" t="s">
        <v>231</v>
      </c>
      <c r="F119" s="114" t="s">
        <v>108</v>
      </c>
      <c r="G119" s="8" t="s">
        <v>100</v>
      </c>
      <c r="H119" s="8" t="s">
        <v>87</v>
      </c>
      <c r="I119" s="14" t="s">
        <v>277</v>
      </c>
      <c r="J119" s="69">
        <f>LOOKUP(I119,'Pattern lookup'!$A$4:$A$21,'Pattern lookup'!$F$4:$F$21)</f>
        <v>6</v>
      </c>
      <c r="K119" s="54">
        <v>10</v>
      </c>
      <c r="L119" s="13">
        <f ca="1">LOOKUP(I119,'Pattern lookup'!$A$4:$A$29,'Pattern lookup'!$C$4:$C$17)</f>
        <v>122</v>
      </c>
      <c r="M119" s="9">
        <f ca="1">LOOKUP(I119,'Pattern lookup'!$A$4:$A$29,'Pattern lookup'!$D$4:$D$17)</f>
        <v>17</v>
      </c>
      <c r="N119" s="9">
        <f ca="1">LOOKUP(I119,'Pattern lookup'!$A$4:$A$29,'Pattern lookup'!$E$4:$E$17)</f>
        <v>0.7</v>
      </c>
      <c r="O119" s="42">
        <f t="shared" si="7"/>
        <v>2</v>
      </c>
      <c r="P119" s="52">
        <f t="shared" ca="1" si="8"/>
        <v>163</v>
      </c>
      <c r="Q119" s="56" t="s">
        <v>448</v>
      </c>
      <c r="R119">
        <f t="shared" ca="1" si="9"/>
        <v>129</v>
      </c>
      <c r="S119" s="54"/>
      <c r="T119" s="42">
        <f t="shared" ca="1" si="10"/>
        <v>129</v>
      </c>
      <c r="U119">
        <f t="shared" ca="1" si="11"/>
        <v>34</v>
      </c>
      <c r="V119" s="8"/>
      <c r="W119" s="90"/>
      <c r="X119" s="54">
        <v>2</v>
      </c>
      <c r="Y119">
        <f t="shared" ca="1" si="12"/>
        <v>0</v>
      </c>
      <c r="Z119" s="117"/>
      <c r="AA119" s="117">
        <f t="shared" ca="1" si="13"/>
        <v>34</v>
      </c>
      <c r="AB119" s="117">
        <f>LOOKUP(I119,'Pattern lookup'!$A$4:$A$21,'Pattern lookup'!$H$4:$H$21)*X119</f>
        <v>24</v>
      </c>
    </row>
    <row r="120" spans="1:28" ht="15" customHeight="1" x14ac:dyDescent="0.2">
      <c r="A120" s="91">
        <v>1</v>
      </c>
      <c r="B120" s="47" t="s">
        <v>254</v>
      </c>
      <c r="C120" s="47" t="s">
        <v>259</v>
      </c>
      <c r="D120" s="8" t="s">
        <v>217</v>
      </c>
      <c r="E120" s="8" t="s">
        <v>231</v>
      </c>
      <c r="F120" s="114" t="s">
        <v>108</v>
      </c>
      <c r="G120" s="8" t="s">
        <v>100</v>
      </c>
      <c r="H120" s="8" t="s">
        <v>88</v>
      </c>
      <c r="I120" s="14" t="s">
        <v>287</v>
      </c>
      <c r="J120" s="69">
        <f>LOOKUP(I120,'Pattern lookup'!$A$4:$A$21,'Pattern lookup'!$F$4:$F$21)</f>
        <v>6</v>
      </c>
      <c r="K120" s="54">
        <v>6</v>
      </c>
      <c r="L120" s="13">
        <f ca="1">LOOKUP(I120,'Pattern lookup'!$A$4:$A$29,'Pattern lookup'!$C$4:$C$17)</f>
        <v>2</v>
      </c>
      <c r="M120" s="9">
        <f ca="1">LOOKUP(I120,'Pattern lookup'!$A$4:$A$29,'Pattern lookup'!$D$4:$D$17)</f>
        <v>17</v>
      </c>
      <c r="N120" s="9">
        <f ca="1">LOOKUP(I120,'Pattern lookup'!$A$4:$A$29,'Pattern lookup'!$E$4:$E$17)</f>
        <v>0.7</v>
      </c>
      <c r="O120" s="42">
        <f t="shared" ref="O120:O179" si="14">IF(J120&lt;&gt;0, ROUNDUP(K120/J120,0), 0)</f>
        <v>1</v>
      </c>
      <c r="P120" s="52">
        <f t="shared" ref="P120:P179" ca="1" si="15">IF(A120=1,(L120+M120*O120+N120*K120),0)</f>
        <v>23.2</v>
      </c>
      <c r="Q120" s="56" t="s">
        <v>448</v>
      </c>
      <c r="R120">
        <f t="shared" ref="R120:R179" ca="1" si="16">IF(AND(Q120&lt;&gt;"0 - Unallocated",Q120&lt;&gt;"z - Cancelled"),L120+N120*K120,)</f>
        <v>6.1999999999999993</v>
      </c>
      <c r="S120" s="54"/>
      <c r="T120" s="41">
        <f t="shared" ref="T120:T179" ca="1" si="17">R120+S120*M120</f>
        <v>6.1999999999999993</v>
      </c>
      <c r="U120">
        <f t="shared" ref="U120:U179" ca="1" si="18">P120-T120</f>
        <v>17</v>
      </c>
      <c r="V120" s="8"/>
      <c r="W120" s="90"/>
      <c r="X120" s="54">
        <v>1</v>
      </c>
      <c r="Y120">
        <f t="shared" ref="Y120:Y179" ca="1" si="19">U120-(X120*M120+V120*M120)</f>
        <v>0</v>
      </c>
      <c r="Z120" s="117"/>
      <c r="AA120" s="117">
        <f t="shared" ref="AA120:AA179" ca="1" si="20">X120*M120</f>
        <v>17</v>
      </c>
      <c r="AB120" s="117">
        <f>LOOKUP(I120,'Pattern lookup'!$A$4:$A$21,'Pattern lookup'!$H$4:$H$21)*X120</f>
        <v>12</v>
      </c>
    </row>
    <row r="121" spans="1:28" ht="15" customHeight="1" x14ac:dyDescent="0.2">
      <c r="A121" s="91">
        <v>1</v>
      </c>
      <c r="B121" s="47" t="s">
        <v>254</v>
      </c>
      <c r="C121" s="47" t="s">
        <v>259</v>
      </c>
      <c r="D121" s="8" t="s">
        <v>217</v>
      </c>
      <c r="E121" s="8" t="s">
        <v>231</v>
      </c>
      <c r="F121" s="93" t="s">
        <v>99</v>
      </c>
      <c r="G121" s="8" t="s">
        <v>100</v>
      </c>
      <c r="H121" s="8" t="s">
        <v>87</v>
      </c>
      <c r="I121" s="14" t="s">
        <v>277</v>
      </c>
      <c r="J121" s="69">
        <f>LOOKUP(I121,'Pattern lookup'!$A$4:$A$21,'Pattern lookup'!$F$4:$F$21)</f>
        <v>6</v>
      </c>
      <c r="K121" s="54">
        <v>30</v>
      </c>
      <c r="L121" s="13">
        <f ca="1">LOOKUP(I121,'Pattern lookup'!$A$4:$A$29,'Pattern lookup'!$C$4:$C$17)</f>
        <v>122</v>
      </c>
      <c r="M121" s="9">
        <f ca="1">LOOKUP(I121,'Pattern lookup'!$A$4:$A$29,'Pattern lookup'!$D$4:$D$17)</f>
        <v>17</v>
      </c>
      <c r="N121" s="9">
        <f ca="1">LOOKUP(I121,'Pattern lookup'!$A$4:$A$29,'Pattern lookup'!$E$4:$E$17)</f>
        <v>0.7</v>
      </c>
      <c r="O121" s="42">
        <f t="shared" si="14"/>
        <v>5</v>
      </c>
      <c r="P121" s="52">
        <f t="shared" ca="1" si="15"/>
        <v>228</v>
      </c>
      <c r="Q121" s="56" t="s">
        <v>448</v>
      </c>
      <c r="R121">
        <f t="shared" ca="1" si="16"/>
        <v>143</v>
      </c>
      <c r="S121" s="54"/>
      <c r="T121" s="42">
        <f t="shared" ca="1" si="17"/>
        <v>143</v>
      </c>
      <c r="U121">
        <f t="shared" ca="1" si="18"/>
        <v>85</v>
      </c>
      <c r="V121" s="8"/>
      <c r="W121" s="90"/>
      <c r="X121" s="54">
        <v>5</v>
      </c>
      <c r="Y121">
        <f t="shared" ca="1" si="19"/>
        <v>0</v>
      </c>
      <c r="Z121" s="117"/>
      <c r="AA121" s="117">
        <f t="shared" ca="1" si="20"/>
        <v>85</v>
      </c>
      <c r="AB121" s="117">
        <f>LOOKUP(I121,'Pattern lookup'!$A$4:$A$21,'Pattern lookup'!$H$4:$H$21)*X121</f>
        <v>60</v>
      </c>
    </row>
    <row r="122" spans="1:28" ht="15" customHeight="1" x14ac:dyDescent="0.2">
      <c r="A122" s="91">
        <v>1</v>
      </c>
      <c r="B122" s="47" t="s">
        <v>254</v>
      </c>
      <c r="C122" s="47" t="s">
        <v>259</v>
      </c>
      <c r="D122" s="8" t="s">
        <v>217</v>
      </c>
      <c r="E122" s="8" t="s">
        <v>231</v>
      </c>
      <c r="F122" s="93" t="s">
        <v>99</v>
      </c>
      <c r="G122" s="8" t="s">
        <v>100</v>
      </c>
      <c r="H122" s="8" t="s">
        <v>88</v>
      </c>
      <c r="I122" s="14" t="s">
        <v>287</v>
      </c>
      <c r="J122" s="69">
        <f>LOOKUP(I122,'Pattern lookup'!$A$4:$A$21,'Pattern lookup'!$F$4:$F$21)</f>
        <v>6</v>
      </c>
      <c r="K122" s="54">
        <v>6</v>
      </c>
      <c r="L122" s="13">
        <f ca="1">LOOKUP(I122,'Pattern lookup'!$A$4:$A$29,'Pattern lookup'!$C$4:$C$17)</f>
        <v>2</v>
      </c>
      <c r="M122" s="9">
        <f ca="1">LOOKUP(I122,'Pattern lookup'!$A$4:$A$29,'Pattern lookup'!$D$4:$D$17)</f>
        <v>17</v>
      </c>
      <c r="N122" s="9">
        <f ca="1">LOOKUP(I122,'Pattern lookup'!$A$4:$A$29,'Pattern lookup'!$E$4:$E$17)</f>
        <v>0.7</v>
      </c>
      <c r="O122" s="42">
        <f t="shared" si="14"/>
        <v>1</v>
      </c>
      <c r="P122" s="52">
        <f t="shared" ca="1" si="15"/>
        <v>23.2</v>
      </c>
      <c r="Q122" s="56" t="s">
        <v>448</v>
      </c>
      <c r="R122">
        <f t="shared" ca="1" si="16"/>
        <v>6.1999999999999993</v>
      </c>
      <c r="S122" s="54"/>
      <c r="T122" s="42">
        <f t="shared" ca="1" si="17"/>
        <v>6.1999999999999993</v>
      </c>
      <c r="U122">
        <f t="shared" ca="1" si="18"/>
        <v>17</v>
      </c>
      <c r="V122" s="8"/>
      <c r="W122" s="90"/>
      <c r="X122" s="54">
        <v>1</v>
      </c>
      <c r="Y122">
        <f t="shared" ca="1" si="19"/>
        <v>0</v>
      </c>
      <c r="Z122" s="117"/>
      <c r="AA122" s="117">
        <f t="shared" ca="1" si="20"/>
        <v>17</v>
      </c>
      <c r="AB122" s="117">
        <f>LOOKUP(I122,'Pattern lookup'!$A$4:$A$21,'Pattern lookup'!$H$4:$H$21)*X122</f>
        <v>12</v>
      </c>
    </row>
    <row r="123" spans="1:28" ht="15" customHeight="1" x14ac:dyDescent="0.2">
      <c r="A123" s="91">
        <v>1</v>
      </c>
      <c r="B123" s="47" t="s">
        <v>255</v>
      </c>
      <c r="C123" s="47" t="s">
        <v>259</v>
      </c>
      <c r="D123" s="8" t="s">
        <v>217</v>
      </c>
      <c r="E123" s="8" t="s">
        <v>231</v>
      </c>
      <c r="F123" s="94" t="s">
        <v>469</v>
      </c>
      <c r="G123" s="8" t="s">
        <v>142</v>
      </c>
      <c r="H123" s="8" t="s">
        <v>87</v>
      </c>
      <c r="I123" s="14" t="s">
        <v>289</v>
      </c>
      <c r="J123" s="69">
        <f>LOOKUP(I123,'Pattern lookup'!$A$4:$A$21,'Pattern lookup'!$F$4:$F$21)</f>
        <v>0</v>
      </c>
      <c r="K123" s="54">
        <v>40</v>
      </c>
      <c r="L123" s="13">
        <f ca="1">LOOKUP(I123,'Pattern lookup'!$A$4:$A$29,'Pattern lookup'!$C$4:$C$17)</f>
        <v>41</v>
      </c>
      <c r="M123" s="9">
        <f ca="1">LOOKUP(I123,'Pattern lookup'!$A$4:$A$29,'Pattern lookup'!$D$4:$D$17)</f>
        <v>0</v>
      </c>
      <c r="N123" s="9">
        <f ca="1">LOOKUP(I123,'Pattern lookup'!$A$4:$A$29,'Pattern lookup'!$E$4:$E$17)</f>
        <v>0.6</v>
      </c>
      <c r="O123" s="42">
        <f t="shared" si="14"/>
        <v>0</v>
      </c>
      <c r="P123" s="52">
        <f t="shared" ca="1" si="15"/>
        <v>65</v>
      </c>
      <c r="Q123" s="56" t="s">
        <v>448</v>
      </c>
      <c r="R123">
        <f t="shared" ca="1" si="16"/>
        <v>65</v>
      </c>
      <c r="S123" s="54"/>
      <c r="T123" s="42">
        <f t="shared" ca="1" si="17"/>
        <v>65</v>
      </c>
      <c r="U123">
        <f t="shared" ca="1" si="18"/>
        <v>0</v>
      </c>
      <c r="V123" s="8"/>
      <c r="W123" s="90"/>
      <c r="X123" s="54"/>
      <c r="Y123">
        <f t="shared" ca="1" si="19"/>
        <v>0</v>
      </c>
      <c r="Z123" s="117"/>
      <c r="AA123" s="117">
        <f t="shared" ca="1" si="20"/>
        <v>0</v>
      </c>
      <c r="AB123" s="117">
        <f>LOOKUP(I123,'Pattern lookup'!$A$4:$A$21,'Pattern lookup'!$H$4:$H$21)*X123</f>
        <v>0</v>
      </c>
    </row>
    <row r="124" spans="1:28" ht="15" customHeight="1" x14ac:dyDescent="0.2">
      <c r="A124" s="91">
        <v>1</v>
      </c>
      <c r="B124" s="47" t="s">
        <v>255</v>
      </c>
      <c r="C124" s="47" t="s">
        <v>259</v>
      </c>
      <c r="D124" s="8" t="s">
        <v>217</v>
      </c>
      <c r="E124" s="8" t="s">
        <v>231</v>
      </c>
      <c r="F124" s="95" t="s">
        <v>470</v>
      </c>
      <c r="G124" s="8" t="s">
        <v>142</v>
      </c>
      <c r="H124" s="8" t="s">
        <v>87</v>
      </c>
      <c r="I124" s="14" t="s">
        <v>289</v>
      </c>
      <c r="J124" s="69">
        <f>LOOKUP(I124,'Pattern lookup'!$A$4:$A$21,'Pattern lookup'!$F$4:$F$21)</f>
        <v>0</v>
      </c>
      <c r="K124" s="54">
        <v>40</v>
      </c>
      <c r="L124" s="13">
        <f ca="1">LOOKUP(I124,'Pattern lookup'!$A$4:$A$29,'Pattern lookup'!$C$4:$C$17)</f>
        <v>41</v>
      </c>
      <c r="M124" s="9">
        <f ca="1">LOOKUP(I124,'Pattern lookup'!$A$4:$A$29,'Pattern lookup'!$D$4:$D$17)</f>
        <v>0</v>
      </c>
      <c r="N124" s="9">
        <f ca="1">LOOKUP(I124,'Pattern lookup'!$A$4:$A$29,'Pattern lookup'!$E$4:$E$17)</f>
        <v>0.6</v>
      </c>
      <c r="O124" s="42">
        <f t="shared" si="14"/>
        <v>0</v>
      </c>
      <c r="P124" s="52">
        <f t="shared" ca="1" si="15"/>
        <v>65</v>
      </c>
      <c r="Q124" s="56" t="s">
        <v>448</v>
      </c>
      <c r="R124">
        <f t="shared" ca="1" si="16"/>
        <v>65</v>
      </c>
      <c r="S124" s="54"/>
      <c r="T124" s="42">
        <f t="shared" ca="1" si="17"/>
        <v>65</v>
      </c>
      <c r="U124">
        <f t="shared" ca="1" si="18"/>
        <v>0</v>
      </c>
      <c r="V124" s="8"/>
      <c r="W124" s="90"/>
      <c r="X124" s="54"/>
      <c r="Y124">
        <f t="shared" ca="1" si="19"/>
        <v>0</v>
      </c>
      <c r="Z124" s="117"/>
      <c r="AA124" s="117">
        <f t="shared" ca="1" si="20"/>
        <v>0</v>
      </c>
      <c r="AB124" s="117">
        <f>LOOKUP(I124,'Pattern lookup'!$A$4:$A$21,'Pattern lookup'!$H$4:$H$21)*X124</f>
        <v>0</v>
      </c>
    </row>
    <row r="125" spans="1:28" ht="15" hidden="1" customHeight="1" x14ac:dyDescent="0.2">
      <c r="A125" s="91">
        <v>0</v>
      </c>
      <c r="B125" s="47" t="s">
        <v>255</v>
      </c>
      <c r="C125" s="47" t="s">
        <v>259</v>
      </c>
      <c r="D125" s="8" t="s">
        <v>217</v>
      </c>
      <c r="E125" s="8" t="s">
        <v>231</v>
      </c>
      <c r="F125" s="96" t="s">
        <v>153</v>
      </c>
      <c r="G125" s="8" t="s">
        <v>146</v>
      </c>
      <c r="H125" s="8" t="s">
        <v>87</v>
      </c>
      <c r="I125" s="14" t="s">
        <v>289</v>
      </c>
      <c r="J125" s="69">
        <f>LOOKUP(I125,'Pattern lookup'!$A$4:$A$21,'Pattern lookup'!$F$4:$F$21)</f>
        <v>0</v>
      </c>
      <c r="K125" s="54">
        <v>40</v>
      </c>
      <c r="L125" s="13">
        <f ca="1">LOOKUP(I125,'Pattern lookup'!$A$4:$A$29,'Pattern lookup'!$C$4:$C$17)</f>
        <v>41</v>
      </c>
      <c r="M125" s="9">
        <f ca="1">LOOKUP(I125,'Pattern lookup'!$A$4:$A$29,'Pattern lookup'!$D$4:$D$17)</f>
        <v>0</v>
      </c>
      <c r="N125" s="9">
        <f ca="1">LOOKUP(I125,'Pattern lookup'!$A$4:$A$29,'Pattern lookup'!$E$4:$E$17)</f>
        <v>0.6</v>
      </c>
      <c r="O125" s="42">
        <f t="shared" si="14"/>
        <v>0</v>
      </c>
      <c r="P125" s="52">
        <f t="shared" si="15"/>
        <v>0</v>
      </c>
      <c r="Q125" s="55" t="s">
        <v>301</v>
      </c>
      <c r="R125">
        <f t="shared" si="16"/>
        <v>0</v>
      </c>
      <c r="S125" s="54"/>
      <c r="T125" s="42">
        <f t="shared" ca="1" si="17"/>
        <v>0</v>
      </c>
      <c r="U125">
        <f t="shared" ca="1" si="18"/>
        <v>0</v>
      </c>
      <c r="V125" s="92"/>
      <c r="W125" s="90"/>
      <c r="X125" s="54"/>
      <c r="Y125">
        <f t="shared" ca="1" si="19"/>
        <v>0</v>
      </c>
      <c r="Z125" s="117"/>
      <c r="AA125" s="117">
        <f t="shared" ca="1" si="20"/>
        <v>0</v>
      </c>
      <c r="AB125" s="117">
        <f>LOOKUP(I125,'Pattern lookup'!$A$4:$A$21,'Pattern lookup'!$H$4:$H$21)*X125</f>
        <v>0</v>
      </c>
    </row>
    <row r="126" spans="1:28" ht="15" customHeight="1" x14ac:dyDescent="0.2">
      <c r="A126" s="91">
        <v>1</v>
      </c>
      <c r="B126" s="47" t="s">
        <v>255</v>
      </c>
      <c r="C126" s="47" t="s">
        <v>259</v>
      </c>
      <c r="D126" s="8" t="s">
        <v>217</v>
      </c>
      <c r="E126" s="8" t="s">
        <v>231</v>
      </c>
      <c r="F126" s="99" t="s">
        <v>467</v>
      </c>
      <c r="G126" s="8" t="s">
        <v>101</v>
      </c>
      <c r="H126" s="8" t="s">
        <v>87</v>
      </c>
      <c r="I126" s="14" t="s">
        <v>289</v>
      </c>
      <c r="J126" s="69">
        <f>LOOKUP(I126,'Pattern lookup'!$A$4:$A$21,'Pattern lookup'!$F$4:$F$21)</f>
        <v>0</v>
      </c>
      <c r="K126" s="54">
        <v>5</v>
      </c>
      <c r="L126" s="13">
        <f ca="1">LOOKUP(I126,'Pattern lookup'!$A$4:$A$29,'Pattern lookup'!$C$4:$C$17)</f>
        <v>41</v>
      </c>
      <c r="M126" s="9">
        <f ca="1">LOOKUP(I126,'Pattern lookup'!$A$4:$A$29,'Pattern lookup'!$D$4:$D$17)</f>
        <v>0</v>
      </c>
      <c r="N126" s="9">
        <f ca="1">LOOKUP(I126,'Pattern lookup'!$A$4:$A$29,'Pattern lookup'!$E$4:$E$17)</f>
        <v>0.6</v>
      </c>
      <c r="O126" s="42">
        <f t="shared" si="14"/>
        <v>0</v>
      </c>
      <c r="P126" s="52">
        <f t="shared" ca="1" si="15"/>
        <v>44</v>
      </c>
      <c r="Q126" s="56" t="s">
        <v>448</v>
      </c>
      <c r="R126">
        <f t="shared" ca="1" si="16"/>
        <v>44</v>
      </c>
      <c r="S126" s="54"/>
      <c r="T126" s="42">
        <f t="shared" ca="1" si="17"/>
        <v>44</v>
      </c>
      <c r="U126">
        <f t="shared" ca="1" si="18"/>
        <v>0</v>
      </c>
      <c r="V126" s="8"/>
      <c r="W126" s="90"/>
      <c r="X126" s="54"/>
      <c r="Y126">
        <f t="shared" ca="1" si="19"/>
        <v>0</v>
      </c>
      <c r="Z126" s="117"/>
      <c r="AA126" s="117">
        <f t="shared" ca="1" si="20"/>
        <v>0</v>
      </c>
      <c r="AB126" s="117">
        <f>LOOKUP(I126,'Pattern lookup'!$A$4:$A$21,'Pattern lookup'!$H$4:$H$21)*X126</f>
        <v>0</v>
      </c>
    </row>
    <row r="127" spans="1:28" ht="15" customHeight="1" x14ac:dyDescent="0.2">
      <c r="A127" s="91">
        <v>1</v>
      </c>
      <c r="B127" s="47" t="s">
        <v>254</v>
      </c>
      <c r="C127" s="47" t="s">
        <v>259</v>
      </c>
      <c r="D127" s="8" t="s">
        <v>187</v>
      </c>
      <c r="E127" s="8" t="s">
        <v>197</v>
      </c>
      <c r="F127" s="114" t="s">
        <v>108</v>
      </c>
      <c r="G127" s="8" t="s">
        <v>100</v>
      </c>
      <c r="H127" s="8" t="s">
        <v>87</v>
      </c>
      <c r="I127" s="14" t="s">
        <v>47</v>
      </c>
      <c r="J127" s="69">
        <f>LOOKUP(I127,'Pattern lookup'!$A$4:$A$21,'Pattern lookup'!$F$4:$F$21)</f>
        <v>15</v>
      </c>
      <c r="K127" s="54">
        <v>9</v>
      </c>
      <c r="L127" s="13">
        <f ca="1">LOOKUP(I127,'Pattern lookup'!$A$4:$A$29,'Pattern lookup'!$C$4:$C$17)</f>
        <v>164</v>
      </c>
      <c r="M127" s="9">
        <f ca="1">LOOKUP(I127,'Pattern lookup'!$A$4:$A$29,'Pattern lookup'!$D$4:$D$17)</f>
        <v>34.5</v>
      </c>
      <c r="N127" s="9">
        <f ca="1">LOOKUP(I127,'Pattern lookup'!$A$4:$A$29,'Pattern lookup'!$E$4:$E$17)</f>
        <v>0.7</v>
      </c>
      <c r="O127" s="42">
        <f t="shared" si="14"/>
        <v>1</v>
      </c>
      <c r="P127" s="52">
        <f t="shared" ca="1" si="15"/>
        <v>204.8</v>
      </c>
      <c r="Q127" s="56" t="s">
        <v>451</v>
      </c>
      <c r="R127">
        <f t="shared" ca="1" si="16"/>
        <v>170.3</v>
      </c>
      <c r="S127" s="54">
        <v>1</v>
      </c>
      <c r="T127" s="42">
        <f t="shared" ca="1" si="17"/>
        <v>204.8</v>
      </c>
      <c r="U127">
        <f t="shared" ca="1" si="18"/>
        <v>0</v>
      </c>
      <c r="V127" s="8"/>
      <c r="W127" s="90"/>
      <c r="X127" s="54"/>
      <c r="Y127">
        <f t="shared" ca="1" si="19"/>
        <v>0</v>
      </c>
      <c r="Z127" s="117"/>
      <c r="AA127" s="117">
        <f t="shared" ca="1" si="20"/>
        <v>0</v>
      </c>
      <c r="AB127" s="117">
        <f>LOOKUP(I127,'Pattern lookup'!$A$4:$A$21,'Pattern lookup'!$H$4:$H$21)*X127</f>
        <v>0</v>
      </c>
    </row>
    <row r="128" spans="1:28" ht="15" customHeight="1" x14ac:dyDescent="0.2">
      <c r="A128" s="91">
        <v>1</v>
      </c>
      <c r="B128" s="47" t="s">
        <v>254</v>
      </c>
      <c r="C128" s="47" t="s">
        <v>259</v>
      </c>
      <c r="D128" s="8" t="s">
        <v>187</v>
      </c>
      <c r="E128" s="8" t="s">
        <v>197</v>
      </c>
      <c r="F128" s="114" t="s">
        <v>108</v>
      </c>
      <c r="G128" s="8" t="s">
        <v>100</v>
      </c>
      <c r="H128" s="8" t="s">
        <v>88</v>
      </c>
      <c r="I128" s="14" t="s">
        <v>48</v>
      </c>
      <c r="J128" s="69">
        <f>LOOKUP(I128,'Pattern lookup'!$A$4:$A$21,'Pattern lookup'!$F$4:$F$21)</f>
        <v>15</v>
      </c>
      <c r="K128" s="54">
        <v>5</v>
      </c>
      <c r="L128" s="13">
        <f ca="1">LOOKUP(I128,'Pattern lookup'!$A$4:$A$29,'Pattern lookup'!$C$4:$C$17)</f>
        <v>2</v>
      </c>
      <c r="M128" s="9">
        <f ca="1">LOOKUP(I128,'Pattern lookup'!$A$4:$A$29,'Pattern lookup'!$D$4:$D$17)</f>
        <v>22.5</v>
      </c>
      <c r="N128" s="9">
        <f ca="1">LOOKUP(I128,'Pattern lookup'!$A$4:$A$29,'Pattern lookup'!$E$4:$E$17)</f>
        <v>0.6</v>
      </c>
      <c r="O128" s="42">
        <f t="shared" si="14"/>
        <v>1</v>
      </c>
      <c r="P128" s="52">
        <f t="shared" ca="1" si="15"/>
        <v>27.5</v>
      </c>
      <c r="Q128" s="56" t="s">
        <v>451</v>
      </c>
      <c r="R128">
        <f t="shared" ca="1" si="16"/>
        <v>5</v>
      </c>
      <c r="S128" s="54">
        <v>1</v>
      </c>
      <c r="T128" s="42">
        <f t="shared" ca="1" si="17"/>
        <v>27.5</v>
      </c>
      <c r="U128">
        <f t="shared" ca="1" si="18"/>
        <v>0</v>
      </c>
      <c r="V128" s="8"/>
      <c r="W128" s="90"/>
      <c r="X128" s="54"/>
      <c r="Y128">
        <f t="shared" ca="1" si="19"/>
        <v>0</v>
      </c>
      <c r="Z128" s="117"/>
      <c r="AA128" s="117">
        <f t="shared" ca="1" si="20"/>
        <v>0</v>
      </c>
      <c r="AB128" s="117">
        <f>LOOKUP(I128,'Pattern lookup'!$A$4:$A$21,'Pattern lookup'!$H$4:$H$21)*X128</f>
        <v>0</v>
      </c>
    </row>
    <row r="129" spans="1:28" x14ac:dyDescent="0.2">
      <c r="A129" s="91">
        <v>1</v>
      </c>
      <c r="B129" s="47" t="s">
        <v>254</v>
      </c>
      <c r="C129" s="47" t="s">
        <v>259</v>
      </c>
      <c r="D129" s="8" t="s">
        <v>186</v>
      </c>
      <c r="E129" s="8" t="s">
        <v>198</v>
      </c>
      <c r="F129" s="114" t="s">
        <v>108</v>
      </c>
      <c r="G129" s="8" t="s">
        <v>100</v>
      </c>
      <c r="H129" s="8" t="s">
        <v>87</v>
      </c>
      <c r="I129" s="14" t="s">
        <v>47</v>
      </c>
      <c r="J129" s="69">
        <f>LOOKUP(I129,'Pattern lookup'!$A$4:$A$21,'Pattern lookup'!$F$4:$F$21)</f>
        <v>15</v>
      </c>
      <c r="K129" s="54">
        <v>11</v>
      </c>
      <c r="L129" s="13">
        <f ca="1">LOOKUP(I129,'Pattern lookup'!$A$4:$A$29,'Pattern lookup'!$C$4:$C$17)</f>
        <v>164</v>
      </c>
      <c r="M129" s="9">
        <f ca="1">LOOKUP(I129,'Pattern lookup'!$A$4:$A$29,'Pattern lookup'!$D$4:$D$17)</f>
        <v>34.5</v>
      </c>
      <c r="N129" s="9">
        <f ca="1">LOOKUP(I129,'Pattern lookup'!$A$4:$A$29,'Pattern lookup'!$E$4:$E$17)</f>
        <v>0.7</v>
      </c>
      <c r="O129" s="42">
        <f t="shared" si="14"/>
        <v>1</v>
      </c>
      <c r="P129" s="52">
        <f t="shared" ca="1" si="15"/>
        <v>206.2</v>
      </c>
      <c r="Q129" s="56" t="s">
        <v>267</v>
      </c>
      <c r="R129">
        <f t="shared" si="16"/>
        <v>0</v>
      </c>
      <c r="S129" s="54"/>
      <c r="T129" s="42">
        <f t="shared" ca="1" si="17"/>
        <v>0</v>
      </c>
      <c r="U129">
        <f t="shared" ca="1" si="18"/>
        <v>206.2</v>
      </c>
      <c r="V129" s="8"/>
      <c r="W129" s="90"/>
      <c r="X129" s="54"/>
      <c r="Y129">
        <f t="shared" ca="1" si="19"/>
        <v>206.2</v>
      </c>
      <c r="Z129" s="142" t="s">
        <v>419</v>
      </c>
      <c r="AA129" s="117">
        <f t="shared" ca="1" si="20"/>
        <v>0</v>
      </c>
      <c r="AB129" s="117">
        <f>LOOKUP(I129,'Pattern lookup'!$A$4:$A$21,'Pattern lookup'!$H$4:$H$21)*X129</f>
        <v>0</v>
      </c>
    </row>
    <row r="130" spans="1:28" x14ac:dyDescent="0.2">
      <c r="A130" s="91">
        <v>1</v>
      </c>
      <c r="B130" s="47" t="s">
        <v>254</v>
      </c>
      <c r="C130" s="47" t="s">
        <v>259</v>
      </c>
      <c r="D130" s="8" t="s">
        <v>186</v>
      </c>
      <c r="E130" s="8" t="s">
        <v>198</v>
      </c>
      <c r="F130" s="114" t="s">
        <v>108</v>
      </c>
      <c r="G130" s="8" t="s">
        <v>100</v>
      </c>
      <c r="H130" s="8" t="s">
        <v>88</v>
      </c>
      <c r="I130" s="14" t="s">
        <v>48</v>
      </c>
      <c r="J130" s="69">
        <f>LOOKUP(I130,'Pattern lookup'!$A$4:$A$21,'Pattern lookup'!$F$4:$F$21)</f>
        <v>15</v>
      </c>
      <c r="K130" s="54">
        <v>5</v>
      </c>
      <c r="L130" s="13">
        <f ca="1">LOOKUP(I130,'Pattern lookup'!$A$4:$A$29,'Pattern lookup'!$C$4:$C$17)</f>
        <v>2</v>
      </c>
      <c r="M130" s="9">
        <f ca="1">LOOKUP(I130,'Pattern lookup'!$A$4:$A$29,'Pattern lookup'!$D$4:$D$17)</f>
        <v>22.5</v>
      </c>
      <c r="N130" s="9">
        <f ca="1">LOOKUP(I130,'Pattern lookup'!$A$4:$A$29,'Pattern lookup'!$E$4:$E$17)</f>
        <v>0.6</v>
      </c>
      <c r="O130" s="42">
        <f t="shared" si="14"/>
        <v>1</v>
      </c>
      <c r="P130" s="52">
        <f t="shared" ca="1" si="15"/>
        <v>27.5</v>
      </c>
      <c r="Q130" s="56" t="s">
        <v>267</v>
      </c>
      <c r="R130">
        <f t="shared" si="16"/>
        <v>0</v>
      </c>
      <c r="S130" s="54"/>
      <c r="T130" s="41">
        <f t="shared" ca="1" si="17"/>
        <v>0</v>
      </c>
      <c r="U130">
        <f t="shared" ca="1" si="18"/>
        <v>27.5</v>
      </c>
      <c r="V130" s="8"/>
      <c r="W130" s="90"/>
      <c r="X130" s="54"/>
      <c r="Y130">
        <f t="shared" ca="1" si="19"/>
        <v>27.5</v>
      </c>
      <c r="Z130" s="142" t="s">
        <v>419</v>
      </c>
      <c r="AA130" s="117">
        <f t="shared" ca="1" si="20"/>
        <v>0</v>
      </c>
      <c r="AB130" s="117">
        <f>LOOKUP(I130,'Pattern lookup'!$A$4:$A$21,'Pattern lookup'!$H$4:$H$21)*X130</f>
        <v>0</v>
      </c>
    </row>
    <row r="131" spans="1:28" ht="15" customHeight="1" x14ac:dyDescent="0.2">
      <c r="A131" s="91">
        <v>1</v>
      </c>
      <c r="B131" s="47" t="s">
        <v>254</v>
      </c>
      <c r="C131" s="47" t="s">
        <v>259</v>
      </c>
      <c r="D131" s="8" t="s">
        <v>184</v>
      </c>
      <c r="E131" s="8" t="s">
        <v>199</v>
      </c>
      <c r="F131" s="93" t="s">
        <v>99</v>
      </c>
      <c r="G131" s="8" t="s">
        <v>100</v>
      </c>
      <c r="H131" s="8" t="s">
        <v>87</v>
      </c>
      <c r="I131" s="14" t="s">
        <v>47</v>
      </c>
      <c r="J131" s="69">
        <f>LOOKUP(I131,'Pattern lookup'!$A$4:$A$21,'Pattern lookup'!$F$4:$F$21)</f>
        <v>15</v>
      </c>
      <c r="K131" s="54">
        <v>25</v>
      </c>
      <c r="L131" s="13">
        <f ca="1">LOOKUP(I131,'Pattern lookup'!$A$4:$A$29,'Pattern lookup'!$C$4:$C$17)</f>
        <v>164</v>
      </c>
      <c r="M131" s="9">
        <f ca="1">LOOKUP(I131,'Pattern lookup'!$A$4:$A$29,'Pattern lookup'!$D$4:$D$17)</f>
        <v>34.5</v>
      </c>
      <c r="N131" s="9">
        <f ca="1">LOOKUP(I131,'Pattern lookup'!$A$4:$A$29,'Pattern lookup'!$E$4:$E$17)</f>
        <v>0.7</v>
      </c>
      <c r="O131" s="42">
        <f t="shared" si="14"/>
        <v>2</v>
      </c>
      <c r="P131" s="52">
        <f t="shared" ca="1" si="15"/>
        <v>250.5</v>
      </c>
      <c r="Q131" s="56" t="s">
        <v>459</v>
      </c>
      <c r="R131">
        <f t="shared" ca="1" si="16"/>
        <v>181.5</v>
      </c>
      <c r="S131" s="54">
        <v>2</v>
      </c>
      <c r="T131" s="42">
        <f t="shared" ca="1" si="17"/>
        <v>250.5</v>
      </c>
      <c r="U131">
        <f t="shared" ca="1" si="18"/>
        <v>0</v>
      </c>
      <c r="V131" s="8"/>
      <c r="W131" s="90"/>
      <c r="X131" s="54"/>
      <c r="Y131">
        <f t="shared" ca="1" si="19"/>
        <v>0</v>
      </c>
      <c r="Z131" s="117"/>
      <c r="AA131" s="117">
        <f t="shared" ca="1" si="20"/>
        <v>0</v>
      </c>
      <c r="AB131" s="117">
        <f>LOOKUP(I131,'Pattern lookup'!$A$4:$A$21,'Pattern lookup'!$H$4:$H$21)*X131</f>
        <v>0</v>
      </c>
    </row>
    <row r="132" spans="1:28" ht="15" customHeight="1" x14ac:dyDescent="0.2">
      <c r="A132" s="91">
        <v>1</v>
      </c>
      <c r="B132" s="47" t="s">
        <v>254</v>
      </c>
      <c r="C132" s="47" t="s">
        <v>259</v>
      </c>
      <c r="D132" s="8" t="s">
        <v>184</v>
      </c>
      <c r="E132" s="8" t="s">
        <v>199</v>
      </c>
      <c r="F132" s="93" t="s">
        <v>99</v>
      </c>
      <c r="G132" s="8" t="s">
        <v>100</v>
      </c>
      <c r="H132" s="8" t="s">
        <v>88</v>
      </c>
      <c r="I132" s="14" t="s">
        <v>48</v>
      </c>
      <c r="J132" s="69">
        <f>LOOKUP(I132,'Pattern lookup'!$A$4:$A$21,'Pattern lookup'!$F$4:$F$21)</f>
        <v>15</v>
      </c>
      <c r="K132" s="54">
        <v>5</v>
      </c>
      <c r="L132" s="13">
        <f ca="1">LOOKUP(I132,'Pattern lookup'!$A$4:$A$29,'Pattern lookup'!$C$4:$C$17)</f>
        <v>2</v>
      </c>
      <c r="M132" s="9">
        <f ca="1">LOOKUP(I132,'Pattern lookup'!$A$4:$A$29,'Pattern lookup'!$D$4:$D$17)</f>
        <v>22.5</v>
      </c>
      <c r="N132" s="9">
        <f ca="1">LOOKUP(I132,'Pattern lookup'!$A$4:$A$29,'Pattern lookup'!$E$4:$E$17)</f>
        <v>0.6</v>
      </c>
      <c r="O132" s="42">
        <f t="shared" si="14"/>
        <v>1</v>
      </c>
      <c r="P132" s="52">
        <f t="shared" ca="1" si="15"/>
        <v>27.5</v>
      </c>
      <c r="Q132" s="56" t="s">
        <v>459</v>
      </c>
      <c r="R132">
        <f t="shared" ca="1" si="16"/>
        <v>5</v>
      </c>
      <c r="S132" s="54">
        <v>1</v>
      </c>
      <c r="T132" s="42">
        <f t="shared" ca="1" si="17"/>
        <v>27.5</v>
      </c>
      <c r="U132">
        <f t="shared" ca="1" si="18"/>
        <v>0</v>
      </c>
      <c r="V132" s="92"/>
      <c r="W132" s="90"/>
      <c r="X132" s="54"/>
      <c r="Y132">
        <f t="shared" ca="1" si="19"/>
        <v>0</v>
      </c>
      <c r="Z132" s="117"/>
      <c r="AA132" s="117">
        <f t="shared" ca="1" si="20"/>
        <v>0</v>
      </c>
      <c r="AB132" s="117">
        <f>LOOKUP(I132,'Pattern lookup'!$A$4:$A$21,'Pattern lookup'!$H$4:$H$21)*X132</f>
        <v>0</v>
      </c>
    </row>
    <row r="133" spans="1:28" ht="15" customHeight="1" x14ac:dyDescent="0.2">
      <c r="A133" s="91">
        <v>1</v>
      </c>
      <c r="B133" s="47" t="s">
        <v>254</v>
      </c>
      <c r="C133" s="47" t="s">
        <v>259</v>
      </c>
      <c r="D133" s="8" t="s">
        <v>191</v>
      </c>
      <c r="E133" s="8" t="s">
        <v>200</v>
      </c>
      <c r="F133" s="93" t="s">
        <v>99</v>
      </c>
      <c r="G133" s="8" t="s">
        <v>100</v>
      </c>
      <c r="H133" s="8" t="s">
        <v>87</v>
      </c>
      <c r="I133" s="14" t="s">
        <v>47</v>
      </c>
      <c r="J133" s="69">
        <f>LOOKUP(I133,'Pattern lookup'!$A$4:$A$21,'Pattern lookup'!$F$4:$F$21)</f>
        <v>15</v>
      </c>
      <c r="K133" s="54">
        <v>6</v>
      </c>
      <c r="L133" s="13">
        <f ca="1">LOOKUP(I133,'Pattern lookup'!$A$4:$A$29,'Pattern lookup'!$C$4:$C$17)</f>
        <v>164</v>
      </c>
      <c r="M133" s="9">
        <f ca="1">LOOKUP(I133,'Pattern lookup'!$A$4:$A$29,'Pattern lookup'!$D$4:$D$17)</f>
        <v>34.5</v>
      </c>
      <c r="N133" s="9">
        <f ca="1">LOOKUP(I133,'Pattern lookup'!$A$4:$A$29,'Pattern lookup'!$E$4:$E$17)</f>
        <v>0.7</v>
      </c>
      <c r="O133" s="42">
        <f t="shared" si="14"/>
        <v>1</v>
      </c>
      <c r="P133" s="52">
        <f t="shared" ca="1" si="15"/>
        <v>202.7</v>
      </c>
      <c r="Q133" s="56" t="s">
        <v>453</v>
      </c>
      <c r="R133">
        <f t="shared" ca="1" si="16"/>
        <v>168.2</v>
      </c>
      <c r="S133" s="54">
        <v>1</v>
      </c>
      <c r="T133" s="42">
        <f t="shared" ca="1" si="17"/>
        <v>202.7</v>
      </c>
      <c r="U133">
        <f t="shared" ca="1" si="18"/>
        <v>0</v>
      </c>
      <c r="V133" s="8"/>
      <c r="W133" s="90"/>
      <c r="X133" s="54"/>
      <c r="Y133">
        <f t="shared" ca="1" si="19"/>
        <v>0</v>
      </c>
      <c r="Z133" s="117"/>
      <c r="AA133" s="117">
        <f t="shared" ca="1" si="20"/>
        <v>0</v>
      </c>
      <c r="AB133" s="117">
        <f>LOOKUP(I133,'Pattern lookup'!$A$4:$A$21,'Pattern lookup'!$H$4:$H$21)*X133</f>
        <v>0</v>
      </c>
    </row>
    <row r="134" spans="1:28" ht="15" customHeight="1" x14ac:dyDescent="0.2">
      <c r="A134" s="91">
        <v>1</v>
      </c>
      <c r="B134" s="47" t="s">
        <v>254</v>
      </c>
      <c r="C134" s="47" t="s">
        <v>259</v>
      </c>
      <c r="D134" s="8" t="s">
        <v>194</v>
      </c>
      <c r="E134" s="8" t="s">
        <v>201</v>
      </c>
      <c r="F134" s="93" t="s">
        <v>99</v>
      </c>
      <c r="G134" s="8" t="s">
        <v>100</v>
      </c>
      <c r="H134" s="8" t="s">
        <v>87</v>
      </c>
      <c r="I134" s="14" t="s">
        <v>47</v>
      </c>
      <c r="J134" s="69">
        <f>LOOKUP(I134,'Pattern lookup'!$A$4:$A$21,'Pattern lookup'!$F$4:$F$21)</f>
        <v>15</v>
      </c>
      <c r="K134" s="54">
        <v>20</v>
      </c>
      <c r="L134" s="13">
        <f ca="1">LOOKUP(I134,'Pattern lookup'!$A$4:$A$29,'Pattern lookup'!$C$4:$C$17)</f>
        <v>164</v>
      </c>
      <c r="M134" s="9">
        <f ca="1">LOOKUP(I134,'Pattern lookup'!$A$4:$A$29,'Pattern lookup'!$D$4:$D$17)</f>
        <v>34.5</v>
      </c>
      <c r="N134" s="9">
        <f ca="1">LOOKUP(I134,'Pattern lookup'!$A$4:$A$29,'Pattern lookup'!$E$4:$E$17)</f>
        <v>0.7</v>
      </c>
      <c r="O134" s="42">
        <f t="shared" si="14"/>
        <v>2</v>
      </c>
      <c r="P134" s="52">
        <f t="shared" ca="1" si="15"/>
        <v>247</v>
      </c>
      <c r="Q134" s="56" t="s">
        <v>450</v>
      </c>
      <c r="R134">
        <f t="shared" ca="1" si="16"/>
        <v>178</v>
      </c>
      <c r="S134" s="54">
        <v>2</v>
      </c>
      <c r="T134" s="42">
        <f t="shared" ca="1" si="17"/>
        <v>247</v>
      </c>
      <c r="U134">
        <f t="shared" ca="1" si="18"/>
        <v>0</v>
      </c>
      <c r="V134" s="8"/>
      <c r="W134" s="90"/>
      <c r="X134" s="54"/>
      <c r="Y134">
        <f t="shared" ca="1" si="19"/>
        <v>0</v>
      </c>
      <c r="Z134" s="117"/>
      <c r="AA134" s="117">
        <f t="shared" ca="1" si="20"/>
        <v>0</v>
      </c>
      <c r="AB134" s="117">
        <f>LOOKUP(I134,'Pattern lookup'!$A$4:$A$21,'Pattern lookup'!$H$4:$H$21)*X134</f>
        <v>0</v>
      </c>
    </row>
    <row r="135" spans="1:28" ht="15" customHeight="1" x14ac:dyDescent="0.2">
      <c r="A135" s="91">
        <v>1</v>
      </c>
      <c r="B135" s="47" t="s">
        <v>254</v>
      </c>
      <c r="C135" s="47" t="s">
        <v>259</v>
      </c>
      <c r="D135" s="8" t="s">
        <v>185</v>
      </c>
      <c r="E135" s="8" t="s">
        <v>202</v>
      </c>
      <c r="F135" s="114" t="s">
        <v>108</v>
      </c>
      <c r="G135" s="8" t="s">
        <v>100</v>
      </c>
      <c r="H135" s="8" t="s">
        <v>87</v>
      </c>
      <c r="I135" s="14" t="s">
        <v>47</v>
      </c>
      <c r="J135" s="69">
        <f>LOOKUP(I135,'Pattern lookup'!$A$4:$A$21,'Pattern lookup'!$F$4:$F$21)</f>
        <v>15</v>
      </c>
      <c r="K135" s="54">
        <v>30</v>
      </c>
      <c r="L135" s="13">
        <f ca="1">LOOKUP(I135,'Pattern lookup'!$A$4:$A$29,'Pattern lookup'!$C$4:$C$17)</f>
        <v>164</v>
      </c>
      <c r="M135" s="9">
        <f ca="1">LOOKUP(I135,'Pattern lookup'!$A$4:$A$29,'Pattern lookup'!$D$4:$D$17)</f>
        <v>34.5</v>
      </c>
      <c r="N135" s="9">
        <f ca="1">LOOKUP(I135,'Pattern lookup'!$A$4:$A$29,'Pattern lookup'!$E$4:$E$17)</f>
        <v>0.7</v>
      </c>
      <c r="O135" s="42">
        <f t="shared" si="14"/>
        <v>2</v>
      </c>
      <c r="P135" s="52">
        <f t="shared" ca="1" si="15"/>
        <v>254</v>
      </c>
      <c r="Q135" s="55" t="s">
        <v>447</v>
      </c>
      <c r="R135">
        <f t="shared" ca="1" si="16"/>
        <v>185</v>
      </c>
      <c r="S135" s="54"/>
      <c r="T135" s="42">
        <f t="shared" ca="1" si="17"/>
        <v>185</v>
      </c>
      <c r="U135">
        <f t="shared" ca="1" si="18"/>
        <v>69</v>
      </c>
      <c r="V135" s="8"/>
      <c r="W135" s="90"/>
      <c r="X135" s="54">
        <v>2</v>
      </c>
      <c r="Y135">
        <f t="shared" ca="1" si="19"/>
        <v>0</v>
      </c>
      <c r="Z135" s="117"/>
      <c r="AA135" s="117">
        <f t="shared" ca="1" si="20"/>
        <v>69</v>
      </c>
      <c r="AB135" s="117">
        <f>LOOKUP(I135,'Pattern lookup'!$A$4:$A$21,'Pattern lookup'!$H$4:$H$21)*X135</f>
        <v>24</v>
      </c>
    </row>
    <row r="136" spans="1:28" ht="15" customHeight="1" x14ac:dyDescent="0.2">
      <c r="A136" s="91">
        <v>1</v>
      </c>
      <c r="B136" s="47" t="s">
        <v>254</v>
      </c>
      <c r="C136" s="47" t="s">
        <v>259</v>
      </c>
      <c r="D136" s="8" t="s">
        <v>185</v>
      </c>
      <c r="E136" s="8" t="s">
        <v>202</v>
      </c>
      <c r="F136" s="114" t="s">
        <v>108</v>
      </c>
      <c r="G136" s="8" t="s">
        <v>100</v>
      </c>
      <c r="H136" s="8" t="s">
        <v>88</v>
      </c>
      <c r="I136" s="14" t="s">
        <v>48</v>
      </c>
      <c r="J136" s="69">
        <f>LOOKUP(I136,'Pattern lookup'!$A$4:$A$21,'Pattern lookup'!$F$4:$F$21)</f>
        <v>15</v>
      </c>
      <c r="K136" s="54">
        <v>7</v>
      </c>
      <c r="L136" s="13">
        <f ca="1">LOOKUP(I136,'Pattern lookup'!$A$4:$A$29,'Pattern lookup'!$C$4:$C$17)</f>
        <v>2</v>
      </c>
      <c r="M136" s="9">
        <f ca="1">LOOKUP(I136,'Pattern lookup'!$A$4:$A$29,'Pattern lookup'!$D$4:$D$17)</f>
        <v>22.5</v>
      </c>
      <c r="N136" s="9">
        <f ca="1">LOOKUP(I136,'Pattern lookup'!$A$4:$A$29,'Pattern lookup'!$E$4:$E$17)</f>
        <v>0.6</v>
      </c>
      <c r="O136" s="42">
        <f t="shared" si="14"/>
        <v>1</v>
      </c>
      <c r="P136" s="52">
        <f t="shared" ca="1" si="15"/>
        <v>28.7</v>
      </c>
      <c r="Q136" s="55" t="s">
        <v>447</v>
      </c>
      <c r="R136">
        <f t="shared" ca="1" si="16"/>
        <v>6.2</v>
      </c>
      <c r="S136" s="54"/>
      <c r="T136" s="42">
        <f t="shared" ca="1" si="17"/>
        <v>6.2</v>
      </c>
      <c r="U136">
        <f t="shared" ca="1" si="18"/>
        <v>22.5</v>
      </c>
      <c r="V136" s="8"/>
      <c r="W136" s="90"/>
      <c r="X136" s="54">
        <v>1</v>
      </c>
      <c r="Y136">
        <f t="shared" ca="1" si="19"/>
        <v>0</v>
      </c>
      <c r="Z136" s="117"/>
      <c r="AA136" s="117">
        <f t="shared" ca="1" si="20"/>
        <v>22.5</v>
      </c>
      <c r="AB136" s="117">
        <f>LOOKUP(I136,'Pattern lookup'!$A$4:$A$21,'Pattern lookup'!$H$4:$H$21)*X136</f>
        <v>12</v>
      </c>
    </row>
    <row r="137" spans="1:28" ht="15" customHeight="1" x14ac:dyDescent="0.2">
      <c r="A137" s="91">
        <v>1</v>
      </c>
      <c r="B137" s="47" t="s">
        <v>255</v>
      </c>
      <c r="C137" s="47" t="s">
        <v>259</v>
      </c>
      <c r="D137" s="8" t="s">
        <v>185</v>
      </c>
      <c r="E137" s="8" t="s">
        <v>202</v>
      </c>
      <c r="F137" s="42" t="s">
        <v>445</v>
      </c>
      <c r="G137" s="8" t="s">
        <v>142</v>
      </c>
      <c r="H137" s="8" t="s">
        <v>87</v>
      </c>
      <c r="I137" s="14" t="s">
        <v>58</v>
      </c>
      <c r="J137" s="69">
        <f>LOOKUP(I137,'Pattern lookup'!$A$4:$A$21,'Pattern lookup'!$F$4:$F$21)</f>
        <v>0</v>
      </c>
      <c r="K137" s="54">
        <v>40</v>
      </c>
      <c r="L137" s="13">
        <f ca="1">LOOKUP(I137,'Pattern lookup'!$A$4:$A$29,'Pattern lookup'!$C$4:$C$17)</f>
        <v>35</v>
      </c>
      <c r="M137" s="9">
        <f ca="1">LOOKUP(I137,'Pattern lookup'!$A$4:$A$29,'Pattern lookup'!$D$4:$D$17)</f>
        <v>0</v>
      </c>
      <c r="N137" s="9">
        <f ca="1">LOOKUP(I137,'Pattern lookup'!$A$4:$A$29,'Pattern lookup'!$E$4:$E$17)</f>
        <v>0.6</v>
      </c>
      <c r="O137" s="42">
        <f t="shared" si="14"/>
        <v>0</v>
      </c>
      <c r="P137" s="52">
        <f t="shared" ca="1" si="15"/>
        <v>59</v>
      </c>
      <c r="Q137" s="55" t="s">
        <v>447</v>
      </c>
      <c r="R137">
        <f t="shared" ca="1" si="16"/>
        <v>59</v>
      </c>
      <c r="S137" s="54"/>
      <c r="T137" s="42">
        <f t="shared" ca="1" si="17"/>
        <v>59</v>
      </c>
      <c r="U137">
        <f t="shared" ca="1" si="18"/>
        <v>0</v>
      </c>
      <c r="V137" s="8"/>
      <c r="W137" s="90"/>
      <c r="X137" s="54"/>
      <c r="Y137">
        <f t="shared" ca="1" si="19"/>
        <v>0</v>
      </c>
      <c r="Z137" s="117"/>
      <c r="AA137" s="117">
        <f t="shared" ca="1" si="20"/>
        <v>0</v>
      </c>
      <c r="AB137" s="117">
        <f>LOOKUP(I137,'Pattern lookup'!$A$4:$A$21,'Pattern lookup'!$H$4:$H$21)*X137</f>
        <v>0</v>
      </c>
    </row>
    <row r="138" spans="1:28" ht="15" customHeight="1" x14ac:dyDescent="0.2">
      <c r="A138" s="91">
        <v>1</v>
      </c>
      <c r="B138" s="47" t="s">
        <v>254</v>
      </c>
      <c r="C138" s="47" t="s">
        <v>259</v>
      </c>
      <c r="D138" s="8" t="s">
        <v>183</v>
      </c>
      <c r="E138" s="8" t="s">
        <v>203</v>
      </c>
      <c r="F138" s="93" t="s">
        <v>99</v>
      </c>
      <c r="G138" s="8" t="s">
        <v>100</v>
      </c>
      <c r="H138" s="8" t="s">
        <v>87</v>
      </c>
      <c r="I138" s="14" t="s">
        <v>268</v>
      </c>
      <c r="J138" s="69">
        <f>LOOKUP(I138,'Pattern lookup'!$A$4:$A$21,'Pattern lookup'!$F$4:$F$21)</f>
        <v>20</v>
      </c>
      <c r="K138" s="54">
        <v>20</v>
      </c>
      <c r="L138" s="13">
        <f ca="1">LOOKUP(I138,'Pattern lookup'!$A$4:$A$29,'Pattern lookup'!$C$4:$C$17)</f>
        <v>110</v>
      </c>
      <c r="M138" s="9">
        <f ca="1">LOOKUP(I138,'Pattern lookup'!$A$4:$A$29,'Pattern lookup'!$D$4:$D$17)</f>
        <v>66</v>
      </c>
      <c r="N138" s="9">
        <f ca="1">LOOKUP(I138,'Pattern lookup'!$A$4:$A$29,'Pattern lookup'!$E$4:$E$17)</f>
        <v>0.7</v>
      </c>
      <c r="O138" s="42">
        <f t="shared" si="14"/>
        <v>1</v>
      </c>
      <c r="P138" s="52">
        <f t="shared" ca="1" si="15"/>
        <v>190</v>
      </c>
      <c r="Q138" s="56" t="s">
        <v>457</v>
      </c>
      <c r="R138">
        <f t="shared" ca="1" si="16"/>
        <v>124</v>
      </c>
      <c r="S138" s="54">
        <v>1</v>
      </c>
      <c r="T138" s="42">
        <f t="shared" ca="1" si="17"/>
        <v>190</v>
      </c>
      <c r="U138">
        <f t="shared" ca="1" si="18"/>
        <v>0</v>
      </c>
      <c r="V138" s="8"/>
      <c r="W138" s="90"/>
      <c r="X138" s="54"/>
      <c r="Y138">
        <f t="shared" ca="1" si="19"/>
        <v>0</v>
      </c>
      <c r="Z138" s="117"/>
      <c r="AA138" s="117">
        <f t="shared" ca="1" si="20"/>
        <v>0</v>
      </c>
      <c r="AB138" s="117">
        <f>LOOKUP(I138,'Pattern lookup'!$A$4:$A$21,'Pattern lookup'!$H$4:$H$21)*X138</f>
        <v>0</v>
      </c>
    </row>
    <row r="139" spans="1:28" ht="15" customHeight="1" x14ac:dyDescent="0.2">
      <c r="A139" s="91">
        <v>1</v>
      </c>
      <c r="B139" s="47" t="s">
        <v>254</v>
      </c>
      <c r="C139" s="47" t="s">
        <v>259</v>
      </c>
      <c r="D139" s="8" t="s">
        <v>183</v>
      </c>
      <c r="E139" s="8" t="s">
        <v>203</v>
      </c>
      <c r="F139" s="93" t="s">
        <v>99</v>
      </c>
      <c r="G139" s="8" t="s">
        <v>100</v>
      </c>
      <c r="H139" s="8" t="s">
        <v>88</v>
      </c>
      <c r="I139" s="14" t="s">
        <v>48</v>
      </c>
      <c r="J139" s="69">
        <f>LOOKUP(I139,'Pattern lookup'!$A$4:$A$21,'Pattern lookup'!$F$4:$F$21)</f>
        <v>15</v>
      </c>
      <c r="K139" s="54">
        <v>6</v>
      </c>
      <c r="L139" s="13">
        <f ca="1">LOOKUP(I139,'Pattern lookup'!$A$4:$A$29,'Pattern lookup'!$C$4:$C$17)</f>
        <v>2</v>
      </c>
      <c r="M139" s="9">
        <f ca="1">LOOKUP(I139,'Pattern lookup'!$A$4:$A$29,'Pattern lookup'!$D$4:$D$17)</f>
        <v>22.5</v>
      </c>
      <c r="N139" s="9">
        <f ca="1">LOOKUP(I139,'Pattern lookup'!$A$4:$A$29,'Pattern lookup'!$E$4:$E$17)</f>
        <v>0.6</v>
      </c>
      <c r="O139" s="42">
        <f t="shared" si="14"/>
        <v>1</v>
      </c>
      <c r="P139" s="52">
        <f t="shared" ca="1" si="15"/>
        <v>28.1</v>
      </c>
      <c r="Q139" s="56" t="s">
        <v>457</v>
      </c>
      <c r="R139">
        <f t="shared" ca="1" si="16"/>
        <v>5.6</v>
      </c>
      <c r="S139" s="54"/>
      <c r="T139" s="42">
        <f t="shared" ca="1" si="17"/>
        <v>5.6</v>
      </c>
      <c r="U139">
        <f t="shared" ca="1" si="18"/>
        <v>22.5</v>
      </c>
      <c r="V139" s="92"/>
      <c r="W139" s="90"/>
      <c r="X139" s="54">
        <v>1</v>
      </c>
      <c r="Y139">
        <f t="shared" ca="1" si="19"/>
        <v>0</v>
      </c>
      <c r="Z139" s="117"/>
      <c r="AA139" s="117">
        <f t="shared" ca="1" si="20"/>
        <v>22.5</v>
      </c>
      <c r="AB139" s="117">
        <f>LOOKUP(I139,'Pattern lookup'!$A$4:$A$21,'Pattern lookup'!$H$4:$H$21)*X139</f>
        <v>12</v>
      </c>
    </row>
    <row r="140" spans="1:28" ht="15" customHeight="1" x14ac:dyDescent="0.2">
      <c r="A140" s="91">
        <v>1</v>
      </c>
      <c r="B140" s="47" t="s">
        <v>255</v>
      </c>
      <c r="C140" s="47" t="s">
        <v>259</v>
      </c>
      <c r="D140" s="8" t="s">
        <v>183</v>
      </c>
      <c r="E140" s="8" t="s">
        <v>203</v>
      </c>
      <c r="F140" s="42" t="s">
        <v>445</v>
      </c>
      <c r="G140" s="8" t="s">
        <v>142</v>
      </c>
      <c r="H140" s="8" t="s">
        <v>87</v>
      </c>
      <c r="I140" s="14" t="s">
        <v>58</v>
      </c>
      <c r="J140" s="69">
        <f>LOOKUP(I140,'Pattern lookup'!$A$4:$A$21,'Pattern lookup'!$F$4:$F$21)</f>
        <v>0</v>
      </c>
      <c r="K140" s="54">
        <v>40</v>
      </c>
      <c r="L140" s="13">
        <f ca="1">LOOKUP(I140,'Pattern lookup'!$A$4:$A$29,'Pattern lookup'!$C$4:$C$17)</f>
        <v>35</v>
      </c>
      <c r="M140" s="9">
        <f ca="1">LOOKUP(I140,'Pattern lookup'!$A$4:$A$29,'Pattern lookup'!$D$4:$D$17)</f>
        <v>0</v>
      </c>
      <c r="N140" s="9">
        <f ca="1">LOOKUP(I140,'Pattern lookup'!$A$4:$A$29,'Pattern lookup'!$E$4:$E$17)</f>
        <v>0.6</v>
      </c>
      <c r="O140" s="42">
        <f t="shared" si="14"/>
        <v>0</v>
      </c>
      <c r="P140" s="52">
        <f t="shared" ca="1" si="15"/>
        <v>59</v>
      </c>
      <c r="Q140" s="56" t="s">
        <v>457</v>
      </c>
      <c r="R140">
        <f t="shared" ca="1" si="16"/>
        <v>59</v>
      </c>
      <c r="S140" s="54"/>
      <c r="T140" s="41">
        <f t="shared" ca="1" si="17"/>
        <v>59</v>
      </c>
      <c r="U140">
        <f t="shared" ca="1" si="18"/>
        <v>0</v>
      </c>
      <c r="V140" s="8"/>
      <c r="W140" s="90"/>
      <c r="X140" s="54"/>
      <c r="Y140">
        <f t="shared" ca="1" si="19"/>
        <v>0</v>
      </c>
      <c r="Z140" s="117"/>
      <c r="AA140" s="117">
        <f t="shared" ca="1" si="20"/>
        <v>0</v>
      </c>
      <c r="AB140" s="117">
        <f>LOOKUP(I140,'Pattern lookup'!$A$4:$A$21,'Pattern lookup'!$H$4:$H$21)*X140</f>
        <v>0</v>
      </c>
    </row>
    <row r="141" spans="1:28" ht="15" customHeight="1" x14ac:dyDescent="0.2">
      <c r="A141" s="91">
        <v>1</v>
      </c>
      <c r="B141" s="47" t="s">
        <v>255</v>
      </c>
      <c r="C141" s="47" t="s">
        <v>259</v>
      </c>
      <c r="D141" s="8" t="s">
        <v>183</v>
      </c>
      <c r="E141" s="8" t="s">
        <v>203</v>
      </c>
      <c r="F141" s="95" t="s">
        <v>470</v>
      </c>
      <c r="G141" s="8" t="s">
        <v>142</v>
      </c>
      <c r="H141" s="8" t="s">
        <v>87</v>
      </c>
      <c r="I141" s="14" t="s">
        <v>58</v>
      </c>
      <c r="J141" s="69">
        <f>LOOKUP(I141,'Pattern lookup'!$A$4:$A$21,'Pattern lookup'!$F$4:$F$21)</f>
        <v>0</v>
      </c>
      <c r="K141" s="54">
        <v>40</v>
      </c>
      <c r="L141" s="13">
        <f ca="1">LOOKUP(I141,'Pattern lookup'!$A$4:$A$29,'Pattern lookup'!$C$4:$C$17)</f>
        <v>35</v>
      </c>
      <c r="M141" s="9">
        <f ca="1">LOOKUP(I141,'Pattern lookup'!$A$4:$A$29,'Pattern lookup'!$D$4:$D$17)</f>
        <v>0</v>
      </c>
      <c r="N141" s="9">
        <f ca="1">LOOKUP(I141,'Pattern lookup'!$A$4:$A$29,'Pattern lookup'!$E$4:$E$17)</f>
        <v>0.6</v>
      </c>
      <c r="O141" s="42">
        <f t="shared" si="14"/>
        <v>0</v>
      </c>
      <c r="P141" s="52">
        <f t="shared" ca="1" si="15"/>
        <v>59</v>
      </c>
      <c r="Q141" s="56" t="s">
        <v>457</v>
      </c>
      <c r="R141">
        <f t="shared" ca="1" si="16"/>
        <v>59</v>
      </c>
      <c r="S141" s="54"/>
      <c r="T141" s="42">
        <f t="shared" ca="1" si="17"/>
        <v>59</v>
      </c>
      <c r="U141">
        <f t="shared" ca="1" si="18"/>
        <v>0</v>
      </c>
      <c r="V141" s="8"/>
      <c r="W141" s="90"/>
      <c r="X141" s="54"/>
      <c r="Y141">
        <f t="shared" ca="1" si="19"/>
        <v>0</v>
      </c>
      <c r="Z141" s="117"/>
      <c r="AA141" s="117">
        <f t="shared" ca="1" si="20"/>
        <v>0</v>
      </c>
      <c r="AB141" s="117">
        <f>LOOKUP(I141,'Pattern lookup'!$A$4:$A$21,'Pattern lookup'!$H$4:$H$21)*X141</f>
        <v>0</v>
      </c>
    </row>
    <row r="142" spans="1:28" ht="15" hidden="1" customHeight="1" x14ac:dyDescent="0.2">
      <c r="A142" s="91">
        <v>0</v>
      </c>
      <c r="B142" s="47" t="s">
        <v>255</v>
      </c>
      <c r="C142" s="47" t="s">
        <v>259</v>
      </c>
      <c r="D142" s="8" t="s">
        <v>183</v>
      </c>
      <c r="E142" s="8" t="s">
        <v>203</v>
      </c>
      <c r="F142" s="97" t="s">
        <v>172</v>
      </c>
      <c r="G142" s="8" t="s">
        <v>146</v>
      </c>
      <c r="H142" s="8" t="s">
        <v>87</v>
      </c>
      <c r="I142" s="14" t="s">
        <v>58</v>
      </c>
      <c r="J142" s="69">
        <f>LOOKUP(I142,'Pattern lookup'!$A$4:$A$21,'Pattern lookup'!$F$4:$F$21)</f>
        <v>0</v>
      </c>
      <c r="K142" s="54">
        <v>40</v>
      </c>
      <c r="L142" s="13">
        <f ca="1">LOOKUP(I142,'Pattern lookup'!$A$4:$A$29,'Pattern lookup'!$C$4:$C$17)</f>
        <v>35</v>
      </c>
      <c r="M142" s="9">
        <f ca="1">LOOKUP(I142,'Pattern lookup'!$A$4:$A$29,'Pattern lookup'!$D$4:$D$17)</f>
        <v>0</v>
      </c>
      <c r="N142" s="9">
        <f ca="1">LOOKUP(I142,'Pattern lookup'!$A$4:$A$29,'Pattern lookup'!$E$4:$E$17)</f>
        <v>0.6</v>
      </c>
      <c r="O142" s="42">
        <f t="shared" si="14"/>
        <v>0</v>
      </c>
      <c r="P142" s="52">
        <f t="shared" si="15"/>
        <v>0</v>
      </c>
      <c r="Q142" s="55" t="s">
        <v>301</v>
      </c>
      <c r="R142">
        <f t="shared" si="16"/>
        <v>0</v>
      </c>
      <c r="S142" s="54"/>
      <c r="T142" s="42">
        <f t="shared" ca="1" si="17"/>
        <v>0</v>
      </c>
      <c r="U142">
        <f t="shared" ca="1" si="18"/>
        <v>0</v>
      </c>
      <c r="V142" s="8"/>
      <c r="W142" s="90"/>
      <c r="X142" s="54"/>
      <c r="Y142">
        <f t="shared" ca="1" si="19"/>
        <v>0</v>
      </c>
      <c r="Z142" s="117"/>
      <c r="AA142" s="117">
        <f t="shared" ca="1" si="20"/>
        <v>0</v>
      </c>
      <c r="AB142" s="117">
        <f>LOOKUP(I142,'Pattern lookup'!$A$4:$A$21,'Pattern lookup'!$H$4:$H$21)*X142</f>
        <v>0</v>
      </c>
    </row>
    <row r="143" spans="1:28" ht="15" customHeight="1" x14ac:dyDescent="0.2">
      <c r="A143" s="91">
        <v>1</v>
      </c>
      <c r="B143" s="47" t="s">
        <v>255</v>
      </c>
      <c r="C143" s="47" t="s">
        <v>259</v>
      </c>
      <c r="D143" s="8" t="s">
        <v>183</v>
      </c>
      <c r="E143" s="8" t="s">
        <v>203</v>
      </c>
      <c r="F143" s="100" t="s">
        <v>466</v>
      </c>
      <c r="G143" s="8" t="s">
        <v>101</v>
      </c>
      <c r="H143" s="8" t="s">
        <v>87</v>
      </c>
      <c r="I143" s="14" t="s">
        <v>426</v>
      </c>
      <c r="J143" s="69">
        <f>LOOKUP(I143,'Pattern lookup'!$A$4:$A$21,'Pattern lookup'!$F$4:$F$21)</f>
        <v>0</v>
      </c>
      <c r="K143" s="54">
        <v>5</v>
      </c>
      <c r="L143" s="13">
        <f ca="1">LOOKUP(I143,'Pattern lookup'!$A$4:$A$29,'Pattern lookup'!$C$4:$C$17)</f>
        <v>37</v>
      </c>
      <c r="M143" s="9">
        <f ca="1">LOOKUP(I143,'Pattern lookup'!$A$4:$A$29,'Pattern lookup'!$D$4:$D$17)</f>
        <v>0</v>
      </c>
      <c r="N143" s="9">
        <f ca="1">LOOKUP(I143,'Pattern lookup'!$A$4:$A$29,'Pattern lookup'!$E$4:$E$17)</f>
        <v>0.35</v>
      </c>
      <c r="O143" s="42">
        <f t="shared" si="14"/>
        <v>0</v>
      </c>
      <c r="P143" s="52">
        <f t="shared" ca="1" si="15"/>
        <v>38.75</v>
      </c>
      <c r="Q143" s="56" t="s">
        <v>457</v>
      </c>
      <c r="R143">
        <f t="shared" ca="1" si="16"/>
        <v>38.75</v>
      </c>
      <c r="S143" s="54"/>
      <c r="T143" s="42">
        <f t="shared" ca="1" si="17"/>
        <v>38.75</v>
      </c>
      <c r="U143">
        <f t="shared" ca="1" si="18"/>
        <v>0</v>
      </c>
      <c r="V143" s="8"/>
      <c r="W143" s="90"/>
      <c r="X143" s="54"/>
      <c r="Y143">
        <f t="shared" ca="1" si="19"/>
        <v>0</v>
      </c>
      <c r="Z143" s="117"/>
      <c r="AA143" s="117">
        <f t="shared" ca="1" si="20"/>
        <v>0</v>
      </c>
      <c r="AB143" s="117">
        <f>LOOKUP(I143,'Pattern lookup'!$A$4:$A$21,'Pattern lookup'!$H$4:$H$21)*X143</f>
        <v>0</v>
      </c>
    </row>
    <row r="144" spans="1:28" ht="15" hidden="1" customHeight="1" x14ac:dyDescent="0.2">
      <c r="A144" s="91">
        <v>0</v>
      </c>
      <c r="B144" s="47" t="s">
        <v>254</v>
      </c>
      <c r="C144" s="47" t="s">
        <v>259</v>
      </c>
      <c r="D144" s="8" t="s">
        <v>183</v>
      </c>
      <c r="E144" s="8" t="s">
        <v>203</v>
      </c>
      <c r="F144" s="93" t="s">
        <v>99</v>
      </c>
      <c r="G144" s="8" t="s">
        <v>107</v>
      </c>
      <c r="H144" s="8" t="s">
        <v>87</v>
      </c>
      <c r="I144" s="14" t="s">
        <v>56</v>
      </c>
      <c r="J144" s="69">
        <f>LOOKUP(I144,'Pattern lookup'!$A$4:$A$21,'Pattern lookup'!$F$4:$F$21)</f>
        <v>15</v>
      </c>
      <c r="K144" s="54">
        <v>10</v>
      </c>
      <c r="L144" s="13">
        <f ca="1">LOOKUP(I144,'Pattern lookup'!$A$4:$A$29,'Pattern lookup'!$C$4:$C$17)</f>
        <v>29</v>
      </c>
      <c r="M144" s="9">
        <f ca="1">LOOKUP(I144,'Pattern lookup'!$A$4:$A$29,'Pattern lookup'!$D$4:$D$17)</f>
        <v>34.5</v>
      </c>
      <c r="N144" s="9">
        <f ca="1">LOOKUP(I144,'Pattern lookup'!$A$4:$A$29,'Pattern lookup'!$E$4:$E$17)</f>
        <v>0.7</v>
      </c>
      <c r="O144" s="42">
        <f t="shared" si="14"/>
        <v>1</v>
      </c>
      <c r="P144" s="52">
        <f t="shared" si="15"/>
        <v>0</v>
      </c>
      <c r="Q144" s="55" t="s">
        <v>301</v>
      </c>
      <c r="R144">
        <f t="shared" si="16"/>
        <v>0</v>
      </c>
      <c r="S144" s="54"/>
      <c r="T144" s="42">
        <f t="shared" ca="1" si="17"/>
        <v>0</v>
      </c>
      <c r="U144">
        <f t="shared" ca="1" si="18"/>
        <v>0</v>
      </c>
      <c r="V144" s="8"/>
      <c r="W144" s="90"/>
      <c r="X144" s="54"/>
      <c r="Y144">
        <f t="shared" ca="1" si="19"/>
        <v>0</v>
      </c>
      <c r="Z144" s="117"/>
      <c r="AA144" s="117">
        <f t="shared" ca="1" si="20"/>
        <v>0</v>
      </c>
      <c r="AB144" s="117">
        <f>LOOKUP(I144,'Pattern lookup'!$A$4:$A$21,'Pattern lookup'!$H$4:$H$21)*X144</f>
        <v>0</v>
      </c>
    </row>
    <row r="145" spans="1:28" ht="15" customHeight="1" x14ac:dyDescent="0.2">
      <c r="A145" s="91">
        <v>1</v>
      </c>
      <c r="B145" s="47" t="s">
        <v>254</v>
      </c>
      <c r="C145" s="47" t="s">
        <v>259</v>
      </c>
      <c r="D145" s="8" t="s">
        <v>190</v>
      </c>
      <c r="E145" s="8" t="s">
        <v>204</v>
      </c>
      <c r="F145" s="93" t="s">
        <v>99</v>
      </c>
      <c r="G145" s="8" t="s">
        <v>100</v>
      </c>
      <c r="H145" s="8" t="s">
        <v>87</v>
      </c>
      <c r="I145" s="14" t="s">
        <v>268</v>
      </c>
      <c r="J145" s="69">
        <f>LOOKUP(I145,'Pattern lookup'!$A$4:$A$21,'Pattern lookup'!$F$4:$F$21)</f>
        <v>20</v>
      </c>
      <c r="K145" s="54">
        <v>19</v>
      </c>
      <c r="L145" s="13">
        <f ca="1">LOOKUP(I145,'Pattern lookup'!$A$4:$A$29,'Pattern lookup'!$C$4:$C$17)</f>
        <v>110</v>
      </c>
      <c r="M145" s="9">
        <f ca="1">LOOKUP(I145,'Pattern lookup'!$A$4:$A$29,'Pattern lookup'!$D$4:$D$17)</f>
        <v>66</v>
      </c>
      <c r="N145" s="9">
        <f ca="1">LOOKUP(I145,'Pattern lookup'!$A$4:$A$29,'Pattern lookup'!$E$4:$E$17)</f>
        <v>0.7</v>
      </c>
      <c r="O145" s="42">
        <f t="shared" si="14"/>
        <v>1</v>
      </c>
      <c r="P145" s="52">
        <f t="shared" ca="1" si="15"/>
        <v>189.3</v>
      </c>
      <c r="Q145" s="56" t="s">
        <v>455</v>
      </c>
      <c r="R145">
        <f t="shared" ca="1" si="16"/>
        <v>123.3</v>
      </c>
      <c r="S145" s="54">
        <v>1</v>
      </c>
      <c r="T145" s="42">
        <f t="shared" ca="1" si="17"/>
        <v>189.3</v>
      </c>
      <c r="U145">
        <f t="shared" ca="1" si="18"/>
        <v>0</v>
      </c>
      <c r="V145" s="8"/>
      <c r="W145" s="90"/>
      <c r="X145" s="54"/>
      <c r="Y145">
        <f t="shared" ca="1" si="19"/>
        <v>0</v>
      </c>
      <c r="Z145" s="117"/>
      <c r="AA145" s="117">
        <f t="shared" ca="1" si="20"/>
        <v>0</v>
      </c>
      <c r="AB145" s="117">
        <f>LOOKUP(I145,'Pattern lookup'!$A$4:$A$21,'Pattern lookup'!$H$4:$H$21)*X145</f>
        <v>0</v>
      </c>
    </row>
    <row r="146" spans="1:28" ht="15" customHeight="1" x14ac:dyDescent="0.2">
      <c r="A146" s="91">
        <v>1</v>
      </c>
      <c r="B146" s="47" t="s">
        <v>254</v>
      </c>
      <c r="C146" s="47" t="s">
        <v>259</v>
      </c>
      <c r="D146" s="8" t="s">
        <v>190</v>
      </c>
      <c r="E146" s="8" t="s">
        <v>204</v>
      </c>
      <c r="F146" s="93" t="s">
        <v>99</v>
      </c>
      <c r="G146" s="8" t="s">
        <v>100</v>
      </c>
      <c r="H146" s="8" t="s">
        <v>88</v>
      </c>
      <c r="I146" s="14" t="s">
        <v>48</v>
      </c>
      <c r="J146" s="69">
        <f>LOOKUP(I146,'Pattern lookup'!$A$4:$A$21,'Pattern lookup'!$F$4:$F$21)</f>
        <v>15</v>
      </c>
      <c r="K146" s="54">
        <v>10</v>
      </c>
      <c r="L146" s="13">
        <f ca="1">LOOKUP(I146,'Pattern lookup'!$A$4:$A$29,'Pattern lookup'!$C$4:$C$17)</f>
        <v>2</v>
      </c>
      <c r="M146" s="9">
        <f ca="1">LOOKUP(I146,'Pattern lookup'!$A$4:$A$29,'Pattern lookup'!$D$4:$D$17)</f>
        <v>22.5</v>
      </c>
      <c r="N146" s="9">
        <f ca="1">LOOKUP(I146,'Pattern lookup'!$A$4:$A$29,'Pattern lookup'!$E$4:$E$17)</f>
        <v>0.6</v>
      </c>
      <c r="O146" s="42">
        <f t="shared" si="14"/>
        <v>1</v>
      </c>
      <c r="P146" s="52">
        <f t="shared" ca="1" si="15"/>
        <v>30.5</v>
      </c>
      <c r="Q146" s="56" t="s">
        <v>455</v>
      </c>
      <c r="R146">
        <f t="shared" ca="1" si="16"/>
        <v>8</v>
      </c>
      <c r="S146" s="54"/>
      <c r="T146" s="42">
        <f t="shared" ca="1" si="17"/>
        <v>8</v>
      </c>
      <c r="U146">
        <f t="shared" ca="1" si="18"/>
        <v>22.5</v>
      </c>
      <c r="V146" s="8"/>
      <c r="W146" s="90"/>
      <c r="X146" s="54">
        <v>1</v>
      </c>
      <c r="Y146">
        <f t="shared" ca="1" si="19"/>
        <v>0</v>
      </c>
      <c r="Z146" s="117"/>
      <c r="AA146" s="117">
        <f t="shared" ca="1" si="20"/>
        <v>22.5</v>
      </c>
      <c r="AB146" s="117">
        <f>LOOKUP(I146,'Pattern lookup'!$A$4:$A$21,'Pattern lookup'!$H$4:$H$21)*X146</f>
        <v>12</v>
      </c>
    </row>
    <row r="147" spans="1:28" ht="15" customHeight="1" x14ac:dyDescent="0.2">
      <c r="A147" s="91">
        <v>1</v>
      </c>
      <c r="B147" s="47" t="s">
        <v>255</v>
      </c>
      <c r="C147" s="47" t="s">
        <v>259</v>
      </c>
      <c r="D147" s="8" t="s">
        <v>190</v>
      </c>
      <c r="E147" s="8" t="s">
        <v>204</v>
      </c>
      <c r="F147" s="95" t="s">
        <v>470</v>
      </c>
      <c r="G147" s="8" t="s">
        <v>142</v>
      </c>
      <c r="H147" s="8" t="s">
        <v>87</v>
      </c>
      <c r="I147" s="14" t="s">
        <v>58</v>
      </c>
      <c r="J147" s="69">
        <f>LOOKUP(I147,'Pattern lookup'!$A$4:$A$21,'Pattern lookup'!$F$4:$F$21)</f>
        <v>0</v>
      </c>
      <c r="K147" s="54">
        <v>40</v>
      </c>
      <c r="L147" s="13">
        <f ca="1">LOOKUP(I147,'Pattern lookup'!$A$4:$A$29,'Pattern lookup'!$C$4:$C$17)</f>
        <v>35</v>
      </c>
      <c r="M147" s="9">
        <f ca="1">LOOKUP(I147,'Pattern lookup'!$A$4:$A$29,'Pattern lookup'!$D$4:$D$17)</f>
        <v>0</v>
      </c>
      <c r="N147" s="9">
        <f ca="1">LOOKUP(I147,'Pattern lookup'!$A$4:$A$29,'Pattern lookup'!$E$4:$E$17)</f>
        <v>0.6</v>
      </c>
      <c r="O147" s="42">
        <f t="shared" si="14"/>
        <v>0</v>
      </c>
      <c r="P147" s="52">
        <f t="shared" ca="1" si="15"/>
        <v>59</v>
      </c>
      <c r="Q147" s="56" t="s">
        <v>455</v>
      </c>
      <c r="R147">
        <f t="shared" ca="1" si="16"/>
        <v>59</v>
      </c>
      <c r="S147" s="54"/>
      <c r="T147" s="42">
        <f t="shared" ca="1" si="17"/>
        <v>59</v>
      </c>
      <c r="U147">
        <f t="shared" ca="1" si="18"/>
        <v>0</v>
      </c>
      <c r="V147" s="92"/>
      <c r="W147" s="90"/>
      <c r="X147" s="54"/>
      <c r="Y147">
        <f t="shared" ca="1" si="19"/>
        <v>0</v>
      </c>
      <c r="Z147" s="117"/>
      <c r="AA147" s="117">
        <f t="shared" ca="1" si="20"/>
        <v>0</v>
      </c>
      <c r="AB147" s="117">
        <f>LOOKUP(I147,'Pattern lookup'!$A$4:$A$21,'Pattern lookup'!$H$4:$H$21)*X147</f>
        <v>0</v>
      </c>
    </row>
    <row r="148" spans="1:28" ht="15" customHeight="1" x14ac:dyDescent="0.2">
      <c r="A148" s="91">
        <v>1</v>
      </c>
      <c r="B148" s="47" t="s">
        <v>254</v>
      </c>
      <c r="C148" s="47" t="s">
        <v>259</v>
      </c>
      <c r="D148" s="8" t="s">
        <v>192</v>
      </c>
      <c r="E148" s="8" t="s">
        <v>205</v>
      </c>
      <c r="F148" s="114" t="s">
        <v>108</v>
      </c>
      <c r="G148" s="8" t="s">
        <v>100</v>
      </c>
      <c r="H148" s="8" t="s">
        <v>87</v>
      </c>
      <c r="I148" s="14" t="s">
        <v>47</v>
      </c>
      <c r="J148" s="69">
        <f>LOOKUP(I148,'Pattern lookup'!$A$4:$A$21,'Pattern lookup'!$F$4:$F$21)</f>
        <v>15</v>
      </c>
      <c r="K148" s="54">
        <v>24</v>
      </c>
      <c r="L148" s="13">
        <f ca="1">LOOKUP(I148,'Pattern lookup'!$A$4:$A$29,'Pattern lookup'!$C$4:$C$17)</f>
        <v>164</v>
      </c>
      <c r="M148" s="9">
        <f ca="1">LOOKUP(I148,'Pattern lookup'!$A$4:$A$29,'Pattern lookup'!$D$4:$D$17)</f>
        <v>34.5</v>
      </c>
      <c r="N148" s="9">
        <f ca="1">LOOKUP(I148,'Pattern lookup'!$A$4:$A$29,'Pattern lookup'!$E$4:$E$17)</f>
        <v>0.7</v>
      </c>
      <c r="O148" s="42">
        <f t="shared" si="14"/>
        <v>2</v>
      </c>
      <c r="P148" s="52">
        <f t="shared" ca="1" si="15"/>
        <v>249.8</v>
      </c>
      <c r="Q148" s="56" t="s">
        <v>458</v>
      </c>
      <c r="R148">
        <f t="shared" ca="1" si="16"/>
        <v>180.8</v>
      </c>
      <c r="S148" s="54">
        <v>2</v>
      </c>
      <c r="T148" s="42">
        <f t="shared" ca="1" si="17"/>
        <v>249.8</v>
      </c>
      <c r="U148">
        <f t="shared" ca="1" si="18"/>
        <v>0</v>
      </c>
      <c r="V148" s="8"/>
      <c r="W148" s="90"/>
      <c r="X148" s="54"/>
      <c r="Y148">
        <f t="shared" ca="1" si="19"/>
        <v>0</v>
      </c>
      <c r="Z148" s="117" t="s">
        <v>390</v>
      </c>
      <c r="AA148" s="117">
        <f t="shared" ca="1" si="20"/>
        <v>0</v>
      </c>
      <c r="AB148" s="117">
        <f>LOOKUP(I148,'Pattern lookup'!$A$4:$A$21,'Pattern lookup'!$H$4:$H$21)*X148</f>
        <v>0</v>
      </c>
    </row>
    <row r="149" spans="1:28" ht="15" customHeight="1" x14ac:dyDescent="0.2">
      <c r="A149" s="91">
        <v>1</v>
      </c>
      <c r="B149" s="47" t="s">
        <v>254</v>
      </c>
      <c r="C149" s="47" t="s">
        <v>259</v>
      </c>
      <c r="D149" s="8" t="s">
        <v>193</v>
      </c>
      <c r="E149" s="8" t="s">
        <v>206</v>
      </c>
      <c r="F149" s="114" t="s">
        <v>108</v>
      </c>
      <c r="G149" s="8" t="s">
        <v>100</v>
      </c>
      <c r="H149" s="8" t="s">
        <v>87</v>
      </c>
      <c r="I149" s="14" t="s">
        <v>47</v>
      </c>
      <c r="J149" s="69">
        <f>LOOKUP(I149,'Pattern lookup'!$A$4:$A$21,'Pattern lookup'!$F$4:$F$21)</f>
        <v>15</v>
      </c>
      <c r="K149" s="54">
        <v>15</v>
      </c>
      <c r="L149" s="13">
        <f ca="1">LOOKUP(I149,'Pattern lookup'!$A$4:$A$29,'Pattern lookup'!$C$4:$C$17)</f>
        <v>164</v>
      </c>
      <c r="M149" s="9">
        <f ca="1">LOOKUP(I149,'Pattern lookup'!$A$4:$A$29,'Pattern lookup'!$D$4:$D$17)</f>
        <v>34.5</v>
      </c>
      <c r="N149" s="9">
        <f ca="1">LOOKUP(I149,'Pattern lookup'!$A$4:$A$29,'Pattern lookup'!$E$4:$E$17)</f>
        <v>0.7</v>
      </c>
      <c r="O149" s="42">
        <f t="shared" si="14"/>
        <v>1</v>
      </c>
      <c r="P149" s="52">
        <f t="shared" ca="1" si="15"/>
        <v>209</v>
      </c>
      <c r="Q149" s="56" t="s">
        <v>454</v>
      </c>
      <c r="R149">
        <f t="shared" ca="1" si="16"/>
        <v>174.5</v>
      </c>
      <c r="S149" s="54">
        <v>1</v>
      </c>
      <c r="T149" s="41">
        <f t="shared" ca="1" si="17"/>
        <v>209</v>
      </c>
      <c r="U149">
        <f t="shared" ca="1" si="18"/>
        <v>0</v>
      </c>
      <c r="V149" s="8"/>
      <c r="W149" s="90"/>
      <c r="X149" s="54"/>
      <c r="Y149">
        <f t="shared" ca="1" si="19"/>
        <v>0</v>
      </c>
      <c r="Z149" s="117"/>
      <c r="AA149" s="117">
        <f t="shared" ca="1" si="20"/>
        <v>0</v>
      </c>
      <c r="AB149" s="117">
        <f>LOOKUP(I149,'Pattern lookup'!$A$4:$A$21,'Pattern lookup'!$H$4:$H$21)*X149</f>
        <v>0</v>
      </c>
    </row>
    <row r="150" spans="1:28" ht="15" customHeight="1" x14ac:dyDescent="0.2">
      <c r="A150" s="91">
        <v>1</v>
      </c>
      <c r="B150" s="47" t="s">
        <v>254</v>
      </c>
      <c r="C150" s="47" t="s">
        <v>258</v>
      </c>
      <c r="D150" s="8" t="s">
        <v>248</v>
      </c>
      <c r="E150" s="8" t="s">
        <v>235</v>
      </c>
      <c r="F150" s="114" t="s">
        <v>108</v>
      </c>
      <c r="G150" s="8" t="s">
        <v>100</v>
      </c>
      <c r="H150" s="8" t="s">
        <v>87</v>
      </c>
      <c r="I150" s="14" t="s">
        <v>295</v>
      </c>
      <c r="J150" s="69">
        <f>LOOKUP(I150,'Pattern lookup'!$A$4:$A$21,'Pattern lookup'!$F$4:$F$21)</f>
        <v>0</v>
      </c>
      <c r="K150" s="54">
        <v>3</v>
      </c>
      <c r="L150" s="13">
        <f ca="1">LOOKUP(I150,'Pattern lookup'!$A$4:$A$29,'Pattern lookup'!$C$4:$C$17)</f>
        <v>0</v>
      </c>
      <c r="M150" s="9">
        <f ca="1">LOOKUP(I150,'Pattern lookup'!$A$4:$A$29,'Pattern lookup'!$D$4:$D$17)</f>
        <v>0</v>
      </c>
      <c r="N150" s="9">
        <f ca="1">LOOKUP(I150,'Pattern lookup'!$A$4:$A$29,'Pattern lookup'!$E$4:$E$17)</f>
        <v>2.1</v>
      </c>
      <c r="O150" s="42">
        <f t="shared" si="14"/>
        <v>0</v>
      </c>
      <c r="P150" s="52">
        <f t="shared" ca="1" si="15"/>
        <v>6.3000000000000007</v>
      </c>
      <c r="Q150" s="56" t="s">
        <v>457</v>
      </c>
      <c r="R150">
        <f t="shared" ca="1" si="16"/>
        <v>6.3000000000000007</v>
      </c>
      <c r="S150" s="54">
        <v>1</v>
      </c>
      <c r="T150" s="42">
        <f t="shared" ca="1" si="17"/>
        <v>6.3000000000000007</v>
      </c>
      <c r="U150">
        <f t="shared" ca="1" si="18"/>
        <v>0</v>
      </c>
      <c r="V150" s="8"/>
      <c r="W150" s="90"/>
      <c r="X150" s="54"/>
      <c r="Y150">
        <f t="shared" ca="1" si="19"/>
        <v>0</v>
      </c>
      <c r="Z150" s="117"/>
      <c r="AA150" s="117">
        <f t="shared" ca="1" si="20"/>
        <v>0</v>
      </c>
      <c r="AB150" s="117">
        <f>LOOKUP(I150,'Pattern lookup'!$A$4:$A$21,'Pattern lookup'!$H$4:$H$21)*X150</f>
        <v>0</v>
      </c>
    </row>
    <row r="151" spans="1:28" ht="15" customHeight="1" x14ac:dyDescent="0.2">
      <c r="A151" s="91">
        <v>1</v>
      </c>
      <c r="B151" s="47" t="s">
        <v>254</v>
      </c>
      <c r="C151" s="47" t="s">
        <v>258</v>
      </c>
      <c r="D151" s="8" t="s">
        <v>215</v>
      </c>
      <c r="E151" s="8" t="s">
        <v>152</v>
      </c>
      <c r="F151" s="93" t="s">
        <v>99</v>
      </c>
      <c r="G151" s="8" t="s">
        <v>100</v>
      </c>
      <c r="H151" s="8" t="s">
        <v>87</v>
      </c>
      <c r="I151" s="14" t="s">
        <v>59</v>
      </c>
      <c r="J151" s="69">
        <f>LOOKUP(I151,'Pattern lookup'!$A$4:$A$21,'Pattern lookup'!$F$4:$F$21)</f>
        <v>15</v>
      </c>
      <c r="K151" s="54">
        <v>5</v>
      </c>
      <c r="L151" s="13">
        <f ca="1">LOOKUP(I151,'Pattern lookup'!$A$4:$A$29,'Pattern lookup'!$C$4:$C$17)</f>
        <v>12</v>
      </c>
      <c r="M151" s="9">
        <f ca="1">LOOKUP(I151,'Pattern lookup'!$A$4:$A$29,'Pattern lookup'!$D$4:$D$17)</f>
        <v>34.5</v>
      </c>
      <c r="N151" s="9">
        <f ca="1">LOOKUP(I151,'Pattern lookup'!$A$4:$A$29,'Pattern lookup'!$E$4:$E$17)</f>
        <v>0.7</v>
      </c>
      <c r="O151" s="42">
        <f t="shared" si="14"/>
        <v>1</v>
      </c>
      <c r="P151" s="52">
        <f t="shared" ca="1" si="15"/>
        <v>50</v>
      </c>
      <c r="Q151" s="56" t="s">
        <v>463</v>
      </c>
      <c r="R151">
        <f t="shared" ca="1" si="16"/>
        <v>15.5</v>
      </c>
      <c r="S151" s="54"/>
      <c r="T151" s="42">
        <f t="shared" ca="1" si="17"/>
        <v>15.5</v>
      </c>
      <c r="U151">
        <f t="shared" ca="1" si="18"/>
        <v>34.5</v>
      </c>
      <c r="V151" s="8"/>
      <c r="W151" s="90"/>
      <c r="X151" s="54">
        <v>1</v>
      </c>
      <c r="Y151">
        <f t="shared" ca="1" si="19"/>
        <v>0</v>
      </c>
      <c r="Z151" s="117"/>
      <c r="AA151" s="117">
        <f t="shared" ca="1" si="20"/>
        <v>34.5</v>
      </c>
      <c r="AB151" s="117">
        <f>LOOKUP(I151,'Pattern lookup'!$A$4:$A$21,'Pattern lookup'!$H$4:$H$21)*X151</f>
        <v>24</v>
      </c>
    </row>
    <row r="152" spans="1:28" ht="15" customHeight="1" x14ac:dyDescent="0.2">
      <c r="A152" s="91">
        <v>1</v>
      </c>
      <c r="B152" s="47" t="s">
        <v>254</v>
      </c>
      <c r="C152" s="47" t="s">
        <v>258</v>
      </c>
      <c r="D152" s="8" t="s">
        <v>215</v>
      </c>
      <c r="E152" s="8" t="s">
        <v>152</v>
      </c>
      <c r="F152" s="93" t="s">
        <v>99</v>
      </c>
      <c r="G152" s="8" t="s">
        <v>100</v>
      </c>
      <c r="H152" s="8" t="s">
        <v>88</v>
      </c>
      <c r="I152" s="14" t="s">
        <v>295</v>
      </c>
      <c r="J152" s="69">
        <f>LOOKUP(I152,'Pattern lookup'!$A$4:$A$21,'Pattern lookup'!$F$4:$F$21)</f>
        <v>0</v>
      </c>
      <c r="K152" s="54">
        <v>2</v>
      </c>
      <c r="L152" s="13">
        <f ca="1">LOOKUP(I152,'Pattern lookup'!$A$4:$A$29,'Pattern lookup'!$C$4:$C$17)</f>
        <v>0</v>
      </c>
      <c r="M152" s="9">
        <f ca="1">LOOKUP(I152,'Pattern lookup'!$A$4:$A$29,'Pattern lookup'!$D$4:$D$17)</f>
        <v>0</v>
      </c>
      <c r="N152" s="9">
        <f ca="1">LOOKUP(I152,'Pattern lookup'!$A$4:$A$29,'Pattern lookup'!$E$4:$E$17)</f>
        <v>2.1</v>
      </c>
      <c r="O152" s="42">
        <f t="shared" si="14"/>
        <v>0</v>
      </c>
      <c r="P152" s="52">
        <f t="shared" ca="1" si="15"/>
        <v>4.2</v>
      </c>
      <c r="Q152" s="56" t="s">
        <v>463</v>
      </c>
      <c r="R152">
        <f t="shared" ca="1" si="16"/>
        <v>4.2</v>
      </c>
      <c r="S152" s="54"/>
      <c r="T152" s="42">
        <f t="shared" ca="1" si="17"/>
        <v>4.2</v>
      </c>
      <c r="U152">
        <f t="shared" ca="1" si="18"/>
        <v>0</v>
      </c>
      <c r="V152" s="8"/>
      <c r="W152" s="90"/>
      <c r="X152" s="54">
        <v>1</v>
      </c>
      <c r="Y152">
        <f t="shared" ca="1" si="19"/>
        <v>0</v>
      </c>
      <c r="Z152" s="117"/>
      <c r="AA152" s="117">
        <f t="shared" ca="1" si="20"/>
        <v>0</v>
      </c>
      <c r="AB152" s="117">
        <f>LOOKUP(I152,'Pattern lookup'!$A$4:$A$21,'Pattern lookup'!$H$4:$H$21)*X152</f>
        <v>0</v>
      </c>
    </row>
    <row r="153" spans="1:28" ht="15" customHeight="1" x14ac:dyDescent="0.2">
      <c r="A153" s="91">
        <v>1</v>
      </c>
      <c r="B153" s="47" t="s">
        <v>254</v>
      </c>
      <c r="C153" s="47" t="s">
        <v>258</v>
      </c>
      <c r="D153" s="8" t="s">
        <v>249</v>
      </c>
      <c r="E153" s="8" t="s">
        <v>252</v>
      </c>
      <c r="F153" s="114" t="s">
        <v>108</v>
      </c>
      <c r="G153" s="8" t="s">
        <v>100</v>
      </c>
      <c r="H153" s="8" t="s">
        <v>87</v>
      </c>
      <c r="I153" s="14" t="s">
        <v>268</v>
      </c>
      <c r="J153" s="69">
        <f>LOOKUP(I153,'Pattern lookup'!$A$4:$A$21,'Pattern lookup'!$F$4:$F$21)</f>
        <v>20</v>
      </c>
      <c r="K153" s="54">
        <v>13</v>
      </c>
      <c r="L153" s="13">
        <f ca="1">LOOKUP(I153,'Pattern lookup'!$A$4:$A$29,'Pattern lookup'!$C$4:$C$17)</f>
        <v>110</v>
      </c>
      <c r="M153" s="9">
        <f ca="1">LOOKUP(I153,'Pattern lookup'!$A$4:$A$29,'Pattern lookup'!$D$4:$D$17)</f>
        <v>66</v>
      </c>
      <c r="N153" s="9">
        <f ca="1">LOOKUP(I153,'Pattern lookup'!$A$4:$A$29,'Pattern lookup'!$E$4:$E$17)</f>
        <v>0.7</v>
      </c>
      <c r="O153" s="42">
        <f t="shared" si="14"/>
        <v>1</v>
      </c>
      <c r="P153" s="52">
        <f t="shared" ca="1" si="15"/>
        <v>185.1</v>
      </c>
      <c r="Q153" s="56" t="s">
        <v>267</v>
      </c>
      <c r="R153">
        <f t="shared" si="16"/>
        <v>0</v>
      </c>
      <c r="S153" s="54"/>
      <c r="T153" s="42">
        <f t="shared" ca="1" si="17"/>
        <v>0</v>
      </c>
      <c r="U153">
        <f t="shared" ca="1" si="18"/>
        <v>185.1</v>
      </c>
      <c r="V153" s="92"/>
      <c r="W153" s="90"/>
      <c r="X153" s="54"/>
      <c r="Y153">
        <f t="shared" ca="1" si="19"/>
        <v>185.1</v>
      </c>
      <c r="Z153" s="117" t="s">
        <v>439</v>
      </c>
      <c r="AA153" s="117">
        <f t="shared" ca="1" si="20"/>
        <v>0</v>
      </c>
      <c r="AB153" s="117">
        <f>LOOKUP(I153,'Pattern lookup'!$A$4:$A$21,'Pattern lookup'!$H$4:$H$21)*X153</f>
        <v>0</v>
      </c>
    </row>
    <row r="154" spans="1:28" ht="15" customHeight="1" x14ac:dyDescent="0.2">
      <c r="A154" s="91">
        <v>1</v>
      </c>
      <c r="B154" s="47" t="s">
        <v>254</v>
      </c>
      <c r="C154" s="47" t="s">
        <v>258</v>
      </c>
      <c r="D154" s="8" t="s">
        <v>227</v>
      </c>
      <c r="E154" s="8" t="s">
        <v>157</v>
      </c>
      <c r="F154" s="114" t="s">
        <v>108</v>
      </c>
      <c r="G154" s="8" t="s">
        <v>100</v>
      </c>
      <c r="H154" s="8" t="s">
        <v>87</v>
      </c>
      <c r="I154" s="14" t="s">
        <v>59</v>
      </c>
      <c r="J154" s="69">
        <f>LOOKUP(I154,'Pattern lookup'!$A$4:$A$21,'Pattern lookup'!$F$4:$F$21)</f>
        <v>15</v>
      </c>
      <c r="K154" s="54">
        <v>5</v>
      </c>
      <c r="L154" s="13">
        <f ca="1">LOOKUP(I154,'Pattern lookup'!$A$4:$A$29,'Pattern lookup'!$C$4:$C$17)</f>
        <v>12</v>
      </c>
      <c r="M154" s="9">
        <f ca="1">LOOKUP(I154,'Pattern lookup'!$A$4:$A$29,'Pattern lookup'!$D$4:$D$17)</f>
        <v>34.5</v>
      </c>
      <c r="N154" s="9">
        <f ca="1">LOOKUP(I154,'Pattern lookup'!$A$4:$A$29,'Pattern lookup'!$E$4:$E$17)</f>
        <v>0.7</v>
      </c>
      <c r="O154" s="42">
        <f t="shared" si="14"/>
        <v>1</v>
      </c>
      <c r="P154" s="52">
        <f t="shared" ca="1" si="15"/>
        <v>50</v>
      </c>
      <c r="Q154" s="56" t="s">
        <v>462</v>
      </c>
      <c r="R154">
        <f t="shared" ca="1" si="16"/>
        <v>15.5</v>
      </c>
      <c r="S154" s="54">
        <v>1</v>
      </c>
      <c r="T154" s="42">
        <f t="shared" ca="1" si="17"/>
        <v>50</v>
      </c>
      <c r="U154">
        <f t="shared" ca="1" si="18"/>
        <v>0</v>
      </c>
      <c r="V154" s="8"/>
      <c r="W154" s="90"/>
      <c r="X154" s="54"/>
      <c r="Y154">
        <f t="shared" ca="1" si="19"/>
        <v>0</v>
      </c>
      <c r="Z154" s="117" t="s">
        <v>441</v>
      </c>
      <c r="AA154" s="117">
        <f t="shared" ca="1" si="20"/>
        <v>0</v>
      </c>
      <c r="AB154" s="117">
        <f>LOOKUP(I154,'Pattern lookup'!$A$4:$A$21,'Pattern lookup'!$H$4:$H$21)*X154</f>
        <v>0</v>
      </c>
    </row>
    <row r="155" spans="1:28" ht="15" customHeight="1" x14ac:dyDescent="0.2">
      <c r="A155" s="91">
        <v>1</v>
      </c>
      <c r="B155" s="47" t="s">
        <v>254</v>
      </c>
      <c r="C155" s="47" t="s">
        <v>258</v>
      </c>
      <c r="D155" s="8" t="s">
        <v>227</v>
      </c>
      <c r="E155" s="8" t="s">
        <v>157</v>
      </c>
      <c r="F155" s="114" t="s">
        <v>108</v>
      </c>
      <c r="G155" s="8" t="s">
        <v>100</v>
      </c>
      <c r="H155" s="8" t="s">
        <v>88</v>
      </c>
      <c r="I155" s="14" t="s">
        <v>295</v>
      </c>
      <c r="J155" s="69">
        <f>LOOKUP(I155,'Pattern lookup'!$A$4:$A$21,'Pattern lookup'!$F$4:$F$21)</f>
        <v>0</v>
      </c>
      <c r="K155" s="54">
        <v>2</v>
      </c>
      <c r="L155" s="13">
        <f ca="1">LOOKUP(I155,'Pattern lookup'!$A$4:$A$29,'Pattern lookup'!$C$4:$C$17)</f>
        <v>0</v>
      </c>
      <c r="M155" s="9">
        <f ca="1">LOOKUP(I155,'Pattern lookup'!$A$4:$A$29,'Pattern lookup'!$D$4:$D$17)</f>
        <v>0</v>
      </c>
      <c r="N155" s="9">
        <f ca="1">LOOKUP(I155,'Pattern lookup'!$A$4:$A$29,'Pattern lookup'!$E$4:$E$17)</f>
        <v>2.1</v>
      </c>
      <c r="O155" s="42">
        <f t="shared" si="14"/>
        <v>0</v>
      </c>
      <c r="P155" s="52">
        <f t="shared" ca="1" si="15"/>
        <v>4.2</v>
      </c>
      <c r="Q155" s="56" t="s">
        <v>462</v>
      </c>
      <c r="R155">
        <f t="shared" ca="1" si="16"/>
        <v>4.2</v>
      </c>
      <c r="S155" s="54">
        <v>1</v>
      </c>
      <c r="T155" s="42">
        <f t="shared" ca="1" si="17"/>
        <v>4.2</v>
      </c>
      <c r="U155">
        <f t="shared" ca="1" si="18"/>
        <v>0</v>
      </c>
      <c r="V155" s="8"/>
      <c r="W155" s="90"/>
      <c r="X155" s="54"/>
      <c r="Y155">
        <f t="shared" ca="1" si="19"/>
        <v>0</v>
      </c>
      <c r="Z155" s="117" t="s">
        <v>441</v>
      </c>
      <c r="AA155" s="117">
        <f t="shared" ca="1" si="20"/>
        <v>0</v>
      </c>
      <c r="AB155" s="117">
        <f>LOOKUP(I155,'Pattern lookup'!$A$4:$A$21,'Pattern lookup'!$H$4:$H$21)*X155</f>
        <v>0</v>
      </c>
    </row>
    <row r="156" spans="1:28" ht="15" customHeight="1" x14ac:dyDescent="0.2">
      <c r="A156" s="91">
        <v>1</v>
      </c>
      <c r="B156" s="47" t="s">
        <v>254</v>
      </c>
      <c r="C156" s="47" t="s">
        <v>258</v>
      </c>
      <c r="D156" s="8" t="s">
        <v>207</v>
      </c>
      <c r="E156" s="8" t="s">
        <v>203</v>
      </c>
      <c r="F156" s="93" t="s">
        <v>99</v>
      </c>
      <c r="G156" s="8" t="s">
        <v>100</v>
      </c>
      <c r="H156" s="8" t="s">
        <v>87</v>
      </c>
      <c r="I156" s="14" t="s">
        <v>295</v>
      </c>
      <c r="J156" s="69">
        <f>LOOKUP(I156,'Pattern lookup'!$A$4:$A$21,'Pattern lookup'!$F$4:$F$21)</f>
        <v>0</v>
      </c>
      <c r="K156" s="54">
        <v>2</v>
      </c>
      <c r="L156" s="13">
        <f ca="1">LOOKUP(I156,'Pattern lookup'!$A$4:$A$29,'Pattern lookup'!$C$4:$C$17)</f>
        <v>0</v>
      </c>
      <c r="M156" s="9">
        <f ca="1">LOOKUP(I156,'Pattern lookup'!$A$4:$A$29,'Pattern lookup'!$D$4:$D$17)</f>
        <v>0</v>
      </c>
      <c r="N156" s="9">
        <f ca="1">LOOKUP(I156,'Pattern lookup'!$A$4:$A$29,'Pattern lookup'!$E$4:$E$17)</f>
        <v>2.1</v>
      </c>
      <c r="O156" s="42">
        <f t="shared" si="14"/>
        <v>0</v>
      </c>
      <c r="P156" s="52">
        <f t="shared" ca="1" si="15"/>
        <v>4.2</v>
      </c>
      <c r="Q156" s="56" t="s">
        <v>457</v>
      </c>
      <c r="R156">
        <f t="shared" ca="1" si="16"/>
        <v>4.2</v>
      </c>
      <c r="S156" s="54">
        <v>1</v>
      </c>
      <c r="T156" s="42">
        <f t="shared" ca="1" si="17"/>
        <v>4.2</v>
      </c>
      <c r="U156">
        <f t="shared" ca="1" si="18"/>
        <v>0</v>
      </c>
      <c r="V156" s="8"/>
      <c r="W156" s="90"/>
      <c r="X156" s="54"/>
      <c r="Y156">
        <f t="shared" ca="1" si="19"/>
        <v>0</v>
      </c>
      <c r="Z156" s="117"/>
      <c r="AA156" s="117">
        <f t="shared" ca="1" si="20"/>
        <v>0</v>
      </c>
      <c r="AB156" s="117">
        <f>LOOKUP(I156,'Pattern lookup'!$A$4:$A$21,'Pattern lookup'!$H$4:$H$21)*X156</f>
        <v>0</v>
      </c>
    </row>
    <row r="157" spans="1:28" ht="15" customHeight="1" x14ac:dyDescent="0.2">
      <c r="A157" s="91">
        <v>1</v>
      </c>
      <c r="B157" s="47" t="s">
        <v>254</v>
      </c>
      <c r="C157" s="47" t="s">
        <v>258</v>
      </c>
      <c r="D157" s="8" t="s">
        <v>207</v>
      </c>
      <c r="E157" s="8" t="s">
        <v>203</v>
      </c>
      <c r="F157" s="93" t="s">
        <v>99</v>
      </c>
      <c r="G157" s="8" t="s">
        <v>100</v>
      </c>
      <c r="H157" s="8" t="s">
        <v>88</v>
      </c>
      <c r="I157" s="14" t="s">
        <v>295</v>
      </c>
      <c r="J157" s="69">
        <f>LOOKUP(I157,'Pattern lookup'!$A$4:$A$21,'Pattern lookup'!$F$4:$F$21)</f>
        <v>0</v>
      </c>
      <c r="K157" s="54">
        <v>2</v>
      </c>
      <c r="L157" s="13">
        <f ca="1">LOOKUP(I157,'Pattern lookup'!$A$4:$A$29,'Pattern lookup'!$C$4:$C$17)</f>
        <v>0</v>
      </c>
      <c r="M157" s="9">
        <f ca="1">LOOKUP(I157,'Pattern lookup'!$A$4:$A$29,'Pattern lookup'!$D$4:$D$17)</f>
        <v>0</v>
      </c>
      <c r="N157" s="9">
        <f ca="1">LOOKUP(I157,'Pattern lookup'!$A$4:$A$29,'Pattern lookup'!$E$4:$E$17)</f>
        <v>2.1</v>
      </c>
      <c r="O157" s="42">
        <f t="shared" si="14"/>
        <v>0</v>
      </c>
      <c r="P157" s="52">
        <f t="shared" ca="1" si="15"/>
        <v>4.2</v>
      </c>
      <c r="Q157" s="56" t="s">
        <v>457</v>
      </c>
      <c r="R157">
        <f t="shared" ca="1" si="16"/>
        <v>4.2</v>
      </c>
      <c r="S157" s="54">
        <v>1</v>
      </c>
      <c r="T157" s="42">
        <f t="shared" ca="1" si="17"/>
        <v>4.2</v>
      </c>
      <c r="U157">
        <f t="shared" ca="1" si="18"/>
        <v>0</v>
      </c>
      <c r="V157" s="8"/>
      <c r="W157" s="90"/>
      <c r="X157" s="54"/>
      <c r="Y157">
        <f t="shared" ca="1" si="19"/>
        <v>0</v>
      </c>
      <c r="Z157" s="117"/>
      <c r="AA157" s="117">
        <f t="shared" ca="1" si="20"/>
        <v>0</v>
      </c>
      <c r="AB157" s="117">
        <f>LOOKUP(I157,'Pattern lookup'!$A$4:$A$21,'Pattern lookup'!$H$4:$H$21)*X157</f>
        <v>0</v>
      </c>
    </row>
    <row r="158" spans="1:28" ht="15" customHeight="1" x14ac:dyDescent="0.2">
      <c r="A158" s="91">
        <v>1</v>
      </c>
      <c r="B158" s="47" t="s">
        <v>254</v>
      </c>
      <c r="C158" s="47" t="s">
        <v>258</v>
      </c>
      <c r="D158" s="8" t="s">
        <v>208</v>
      </c>
      <c r="E158" s="8" t="s">
        <v>236</v>
      </c>
      <c r="F158" s="93" t="s">
        <v>99</v>
      </c>
      <c r="G158" s="8" t="s">
        <v>100</v>
      </c>
      <c r="H158" s="8" t="s">
        <v>87</v>
      </c>
      <c r="I158" s="14" t="s">
        <v>47</v>
      </c>
      <c r="J158" s="69">
        <f>LOOKUP(I158,'Pattern lookup'!$A$4:$A$21,'Pattern lookup'!$F$4:$F$21)</f>
        <v>15</v>
      </c>
      <c r="K158" s="54">
        <v>5</v>
      </c>
      <c r="L158" s="13">
        <f ca="1">LOOKUP(I158,'Pattern lookup'!$A$4:$A$29,'Pattern lookup'!$C$4:$C$17)</f>
        <v>164</v>
      </c>
      <c r="M158" s="9">
        <f ca="1">LOOKUP(I158,'Pattern lookup'!$A$4:$A$29,'Pattern lookup'!$D$4:$D$17)</f>
        <v>34.5</v>
      </c>
      <c r="N158" s="9">
        <f ca="1">LOOKUP(I158,'Pattern lookup'!$A$4:$A$29,'Pattern lookup'!$E$4:$E$17)</f>
        <v>0.7</v>
      </c>
      <c r="O158" s="42">
        <f t="shared" si="14"/>
        <v>1</v>
      </c>
      <c r="P158" s="52">
        <f t="shared" ca="1" si="15"/>
        <v>202</v>
      </c>
      <c r="Q158" s="56" t="s">
        <v>454</v>
      </c>
      <c r="R158">
        <f t="shared" ca="1" si="16"/>
        <v>167.5</v>
      </c>
      <c r="S158" s="54">
        <v>1</v>
      </c>
      <c r="T158" s="42">
        <f t="shared" ca="1" si="17"/>
        <v>202</v>
      </c>
      <c r="U158">
        <f t="shared" ca="1" si="18"/>
        <v>0</v>
      </c>
      <c r="V158" s="8"/>
      <c r="W158" s="90"/>
      <c r="X158" s="54"/>
      <c r="Y158">
        <f t="shared" ca="1" si="19"/>
        <v>0</v>
      </c>
      <c r="Z158" s="117"/>
      <c r="AA158" s="117">
        <f t="shared" ca="1" si="20"/>
        <v>0</v>
      </c>
      <c r="AB158" s="117">
        <f>LOOKUP(I158,'Pattern lookup'!$A$4:$A$21,'Pattern lookup'!$H$4:$H$21)*X158</f>
        <v>0</v>
      </c>
    </row>
    <row r="159" spans="1:28" ht="15" customHeight="1" x14ac:dyDescent="0.2">
      <c r="A159" s="91">
        <v>1</v>
      </c>
      <c r="B159" s="47" t="s">
        <v>254</v>
      </c>
      <c r="C159" s="47" t="s">
        <v>258</v>
      </c>
      <c r="D159" s="8" t="s">
        <v>211</v>
      </c>
      <c r="E159" s="8" t="s">
        <v>199</v>
      </c>
      <c r="F159" s="93" t="s">
        <v>99</v>
      </c>
      <c r="G159" s="8" t="s">
        <v>100</v>
      </c>
      <c r="H159" s="8" t="s">
        <v>87</v>
      </c>
      <c r="I159" s="14" t="s">
        <v>59</v>
      </c>
      <c r="J159" s="69">
        <f>LOOKUP(I159,'Pattern lookup'!$A$4:$A$21,'Pattern lookup'!$F$4:$F$21)</f>
        <v>15</v>
      </c>
      <c r="K159" s="54">
        <v>11</v>
      </c>
      <c r="L159" s="13">
        <f ca="1">LOOKUP(I159,'Pattern lookup'!$A$4:$A$29,'Pattern lookup'!$C$4:$C$17)</f>
        <v>12</v>
      </c>
      <c r="M159" s="9">
        <f ca="1">LOOKUP(I159,'Pattern lookup'!$A$4:$A$29,'Pattern lookup'!$D$4:$D$17)</f>
        <v>34.5</v>
      </c>
      <c r="N159" s="9">
        <f ca="1">LOOKUP(I159,'Pattern lookup'!$A$4:$A$29,'Pattern lookup'!$E$4:$E$17)</f>
        <v>0.7</v>
      </c>
      <c r="O159" s="42">
        <f t="shared" si="14"/>
        <v>1</v>
      </c>
      <c r="P159" s="52">
        <f t="shared" ca="1" si="15"/>
        <v>54.2</v>
      </c>
      <c r="Q159" s="56" t="s">
        <v>459</v>
      </c>
      <c r="R159">
        <f t="shared" ca="1" si="16"/>
        <v>19.7</v>
      </c>
      <c r="S159" s="54">
        <v>1</v>
      </c>
      <c r="T159" s="42">
        <f t="shared" ca="1" si="17"/>
        <v>54.2</v>
      </c>
      <c r="U159">
        <f t="shared" ca="1" si="18"/>
        <v>0</v>
      </c>
      <c r="V159" s="8"/>
      <c r="W159" s="90"/>
      <c r="X159" s="54"/>
      <c r="Y159">
        <f t="shared" ca="1" si="19"/>
        <v>0</v>
      </c>
      <c r="Z159" s="117"/>
      <c r="AA159" s="117">
        <f t="shared" ca="1" si="20"/>
        <v>0</v>
      </c>
      <c r="AB159" s="117">
        <f>LOOKUP(I159,'Pattern lookup'!$A$4:$A$21,'Pattern lookup'!$H$4:$H$21)*X159</f>
        <v>0</v>
      </c>
    </row>
    <row r="160" spans="1:28" ht="15" customHeight="1" x14ac:dyDescent="0.2">
      <c r="A160" s="91">
        <v>1</v>
      </c>
      <c r="B160" s="47" t="s">
        <v>254</v>
      </c>
      <c r="C160" s="47" t="s">
        <v>258</v>
      </c>
      <c r="D160" s="8" t="s">
        <v>211</v>
      </c>
      <c r="E160" s="8" t="s">
        <v>199</v>
      </c>
      <c r="F160" s="93" t="s">
        <v>99</v>
      </c>
      <c r="G160" s="8" t="s">
        <v>100</v>
      </c>
      <c r="H160" s="8" t="s">
        <v>88</v>
      </c>
      <c r="I160" s="14" t="s">
        <v>295</v>
      </c>
      <c r="J160" s="69">
        <f>LOOKUP(I160,'Pattern lookup'!$A$4:$A$21,'Pattern lookup'!$F$4:$F$21)</f>
        <v>0</v>
      </c>
      <c r="K160" s="54">
        <v>2</v>
      </c>
      <c r="L160" s="13">
        <f ca="1">LOOKUP(I160,'Pattern lookup'!$A$4:$A$29,'Pattern lookup'!$C$4:$C$17)</f>
        <v>0</v>
      </c>
      <c r="M160" s="9">
        <f ca="1">LOOKUP(I160,'Pattern lookup'!$A$4:$A$29,'Pattern lookup'!$D$4:$D$17)</f>
        <v>0</v>
      </c>
      <c r="N160" s="9">
        <f ca="1">LOOKUP(I160,'Pattern lookup'!$A$4:$A$29,'Pattern lookup'!$E$4:$E$17)</f>
        <v>2.1</v>
      </c>
      <c r="O160" s="42">
        <f t="shared" si="14"/>
        <v>0</v>
      </c>
      <c r="P160" s="52">
        <f t="shared" ca="1" si="15"/>
        <v>4.2</v>
      </c>
      <c r="Q160" s="56" t="s">
        <v>459</v>
      </c>
      <c r="R160">
        <f t="shared" ca="1" si="16"/>
        <v>4.2</v>
      </c>
      <c r="S160" s="54">
        <v>1</v>
      </c>
      <c r="T160" s="41">
        <f t="shared" ca="1" si="17"/>
        <v>4.2</v>
      </c>
      <c r="U160">
        <f t="shared" ca="1" si="18"/>
        <v>0</v>
      </c>
      <c r="V160" s="8"/>
      <c r="W160" s="90"/>
      <c r="X160" s="54"/>
      <c r="Y160">
        <f t="shared" ca="1" si="19"/>
        <v>0</v>
      </c>
      <c r="Z160" s="117"/>
      <c r="AA160" s="117">
        <f t="shared" ca="1" si="20"/>
        <v>0</v>
      </c>
      <c r="AB160" s="117">
        <f>LOOKUP(I160,'Pattern lookup'!$A$4:$A$21,'Pattern lookup'!$H$4:$H$21)*X160</f>
        <v>0</v>
      </c>
    </row>
    <row r="161" spans="1:28" ht="15" customHeight="1" x14ac:dyDescent="0.2">
      <c r="A161" s="91">
        <v>1</v>
      </c>
      <c r="B161" s="47" t="s">
        <v>254</v>
      </c>
      <c r="C161" s="47" t="s">
        <v>258</v>
      </c>
      <c r="D161" s="8" t="s">
        <v>250</v>
      </c>
      <c r="E161" s="8" t="s">
        <v>251</v>
      </c>
      <c r="F161" s="114" t="s">
        <v>108</v>
      </c>
      <c r="G161" s="8" t="s">
        <v>100</v>
      </c>
      <c r="H161" s="8" t="s">
        <v>87</v>
      </c>
      <c r="I161" s="14" t="s">
        <v>47</v>
      </c>
      <c r="J161" s="69">
        <f>LOOKUP(I161,'Pattern lookup'!$A$4:$A$21,'Pattern lookup'!$F$4:$F$21)</f>
        <v>15</v>
      </c>
      <c r="K161" s="54">
        <v>24</v>
      </c>
      <c r="L161" s="13">
        <f ca="1">LOOKUP(I161,'Pattern lookup'!$A$4:$A$29,'Pattern lookup'!$C$4:$C$17)</f>
        <v>164</v>
      </c>
      <c r="M161" s="9">
        <f ca="1">LOOKUP(I161,'Pattern lookup'!$A$4:$A$29,'Pattern lookup'!$D$4:$D$17)</f>
        <v>34.5</v>
      </c>
      <c r="N161" s="9">
        <f ca="1">LOOKUP(I161,'Pattern lookup'!$A$4:$A$29,'Pattern lookup'!$E$4:$E$17)</f>
        <v>0.7</v>
      </c>
      <c r="O161" s="42">
        <f t="shared" si="14"/>
        <v>2</v>
      </c>
      <c r="P161" s="52">
        <f t="shared" ca="1" si="15"/>
        <v>249.8</v>
      </c>
      <c r="Q161" s="56" t="s">
        <v>454</v>
      </c>
      <c r="R161">
        <f t="shared" ca="1" si="16"/>
        <v>180.8</v>
      </c>
      <c r="S161" s="54"/>
      <c r="T161" s="42">
        <f t="shared" ca="1" si="17"/>
        <v>180.8</v>
      </c>
      <c r="U161">
        <f t="shared" ca="1" si="18"/>
        <v>69</v>
      </c>
      <c r="V161" s="92"/>
      <c r="W161" s="90"/>
      <c r="X161" s="54">
        <v>2</v>
      </c>
      <c r="Y161">
        <f t="shared" ca="1" si="19"/>
        <v>0</v>
      </c>
      <c r="Z161" s="117" t="s">
        <v>438</v>
      </c>
      <c r="AA161" s="117">
        <f t="shared" ca="1" si="20"/>
        <v>69</v>
      </c>
      <c r="AB161" s="117">
        <f>LOOKUP(I161,'Pattern lookup'!$A$4:$A$21,'Pattern lookup'!$H$4:$H$21)*X161</f>
        <v>24</v>
      </c>
    </row>
    <row r="162" spans="1:28" ht="15" customHeight="1" x14ac:dyDescent="0.2">
      <c r="A162" s="91">
        <v>1</v>
      </c>
      <c r="B162" s="47" t="s">
        <v>254</v>
      </c>
      <c r="C162" s="47" t="s">
        <v>258</v>
      </c>
      <c r="D162" s="8" t="s">
        <v>213</v>
      </c>
      <c r="E162" s="8" t="s">
        <v>165</v>
      </c>
      <c r="F162" s="114" t="s">
        <v>108</v>
      </c>
      <c r="G162" s="8" t="s">
        <v>100</v>
      </c>
      <c r="H162" s="8" t="s">
        <v>87</v>
      </c>
      <c r="I162" s="14" t="s">
        <v>59</v>
      </c>
      <c r="J162" s="69">
        <f>LOOKUP(I162,'Pattern lookup'!$A$4:$A$21,'Pattern lookup'!$F$4:$F$21)</f>
        <v>15</v>
      </c>
      <c r="K162" s="54">
        <v>5</v>
      </c>
      <c r="L162" s="13">
        <f ca="1">LOOKUP(I162,'Pattern lookup'!$A$4:$A$29,'Pattern lookup'!$C$4:$C$17)</f>
        <v>12</v>
      </c>
      <c r="M162" s="9">
        <f ca="1">LOOKUP(I162,'Pattern lookup'!$A$4:$A$29,'Pattern lookup'!$D$4:$D$17)</f>
        <v>34.5</v>
      </c>
      <c r="N162" s="9">
        <f ca="1">LOOKUP(I162,'Pattern lookup'!$A$4:$A$29,'Pattern lookup'!$E$4:$E$17)</f>
        <v>0.7</v>
      </c>
      <c r="O162" s="42">
        <f t="shared" si="14"/>
        <v>1</v>
      </c>
      <c r="P162" s="52">
        <f t="shared" ca="1" si="15"/>
        <v>50</v>
      </c>
      <c r="Q162" s="56" t="s">
        <v>447</v>
      </c>
      <c r="R162">
        <f t="shared" ca="1" si="16"/>
        <v>15.5</v>
      </c>
      <c r="S162" s="54"/>
      <c r="T162" s="42">
        <f t="shared" ca="1" si="17"/>
        <v>15.5</v>
      </c>
      <c r="U162">
        <f t="shared" ca="1" si="18"/>
        <v>34.5</v>
      </c>
      <c r="V162" s="8"/>
      <c r="W162" s="90"/>
      <c r="X162" s="54">
        <v>1</v>
      </c>
      <c r="Y162">
        <f t="shared" ca="1" si="19"/>
        <v>0</v>
      </c>
      <c r="Z162" s="117"/>
      <c r="AA162" s="117">
        <f t="shared" ca="1" si="20"/>
        <v>34.5</v>
      </c>
      <c r="AB162" s="117">
        <f>LOOKUP(I162,'Pattern lookup'!$A$4:$A$21,'Pattern lookup'!$H$4:$H$21)*X162</f>
        <v>24</v>
      </c>
    </row>
    <row r="163" spans="1:28" ht="15" customHeight="1" x14ac:dyDescent="0.2">
      <c r="A163" s="91">
        <v>1</v>
      </c>
      <c r="B163" s="47" t="s">
        <v>254</v>
      </c>
      <c r="C163" s="47" t="s">
        <v>258</v>
      </c>
      <c r="D163" s="8" t="s">
        <v>213</v>
      </c>
      <c r="E163" s="8" t="s">
        <v>165</v>
      </c>
      <c r="F163" s="114" t="s">
        <v>108</v>
      </c>
      <c r="G163" s="8" t="s">
        <v>100</v>
      </c>
      <c r="H163" s="8" t="s">
        <v>88</v>
      </c>
      <c r="I163" s="14" t="s">
        <v>295</v>
      </c>
      <c r="J163" s="69">
        <f>LOOKUP(I163,'Pattern lookup'!$A$4:$A$21,'Pattern lookup'!$F$4:$F$21)</f>
        <v>0</v>
      </c>
      <c r="K163" s="54">
        <v>2</v>
      </c>
      <c r="L163" s="13">
        <f ca="1">LOOKUP(I163,'Pattern lookup'!$A$4:$A$29,'Pattern lookup'!$C$4:$C$17)</f>
        <v>0</v>
      </c>
      <c r="M163" s="9">
        <f ca="1">LOOKUP(I163,'Pattern lookup'!$A$4:$A$29,'Pattern lookup'!$D$4:$D$17)</f>
        <v>0</v>
      </c>
      <c r="N163" s="9">
        <f ca="1">LOOKUP(I163,'Pattern lookup'!$A$4:$A$29,'Pattern lookup'!$E$4:$E$17)</f>
        <v>2.1</v>
      </c>
      <c r="O163" s="42">
        <f t="shared" si="14"/>
        <v>0</v>
      </c>
      <c r="P163" s="52">
        <f t="shared" ca="1" si="15"/>
        <v>4.2</v>
      </c>
      <c r="Q163" s="55" t="s">
        <v>447</v>
      </c>
      <c r="R163">
        <f t="shared" ca="1" si="16"/>
        <v>4.2</v>
      </c>
      <c r="S163" s="54"/>
      <c r="T163" s="42">
        <f t="shared" ca="1" si="17"/>
        <v>4.2</v>
      </c>
      <c r="U163">
        <f t="shared" ca="1" si="18"/>
        <v>0</v>
      </c>
      <c r="V163" s="8"/>
      <c r="W163" s="90"/>
      <c r="X163" s="54"/>
      <c r="Y163">
        <f t="shared" ca="1" si="19"/>
        <v>0</v>
      </c>
      <c r="Z163" s="117"/>
      <c r="AA163" s="117">
        <f t="shared" ca="1" si="20"/>
        <v>0</v>
      </c>
      <c r="AB163" s="117">
        <f>LOOKUP(I163,'Pattern lookup'!$A$4:$A$21,'Pattern lookup'!$H$4:$H$21)*X163</f>
        <v>0</v>
      </c>
    </row>
    <row r="164" spans="1:28" ht="15" customHeight="1" x14ac:dyDescent="0.2">
      <c r="A164" s="91">
        <v>1</v>
      </c>
      <c r="B164" s="47" t="s">
        <v>254</v>
      </c>
      <c r="C164" s="47" t="s">
        <v>258</v>
      </c>
      <c r="D164" s="8" t="s">
        <v>219</v>
      </c>
      <c r="E164" s="8" t="s">
        <v>169</v>
      </c>
      <c r="F164" s="114" t="s">
        <v>108</v>
      </c>
      <c r="G164" s="8" t="s">
        <v>100</v>
      </c>
      <c r="H164" s="8" t="s">
        <v>87</v>
      </c>
      <c r="I164" s="14" t="s">
        <v>59</v>
      </c>
      <c r="J164" s="69">
        <f>LOOKUP(I164,'Pattern lookup'!$A$4:$A$21,'Pattern lookup'!$F$4:$F$21)</f>
        <v>15</v>
      </c>
      <c r="K164" s="54">
        <v>5</v>
      </c>
      <c r="L164" s="13">
        <f ca="1">LOOKUP(I164,'Pattern lookup'!$A$4:$A$29,'Pattern lookup'!$C$4:$C$17)</f>
        <v>12</v>
      </c>
      <c r="M164" s="9">
        <f ca="1">LOOKUP(I164,'Pattern lookup'!$A$4:$A$29,'Pattern lookup'!$D$4:$D$17)</f>
        <v>34.5</v>
      </c>
      <c r="N164" s="9">
        <f ca="1">LOOKUP(I164,'Pattern lookup'!$A$4:$A$29,'Pattern lookup'!$E$4:$E$17)</f>
        <v>0.7</v>
      </c>
      <c r="O164" s="42">
        <f t="shared" si="14"/>
        <v>1</v>
      </c>
      <c r="P164" s="52">
        <f t="shared" ca="1" si="15"/>
        <v>50</v>
      </c>
      <c r="Q164" s="56" t="s">
        <v>452</v>
      </c>
      <c r="R164">
        <f t="shared" ca="1" si="16"/>
        <v>15.5</v>
      </c>
      <c r="S164" s="54"/>
      <c r="T164" s="42">
        <f t="shared" ca="1" si="17"/>
        <v>15.5</v>
      </c>
      <c r="U164">
        <f t="shared" ca="1" si="18"/>
        <v>34.5</v>
      </c>
      <c r="V164" s="8"/>
      <c r="W164" s="90"/>
      <c r="X164" s="54">
        <v>1</v>
      </c>
      <c r="Y164">
        <f t="shared" ca="1" si="19"/>
        <v>0</v>
      </c>
      <c r="Z164" s="117"/>
      <c r="AA164" s="117">
        <f t="shared" ca="1" si="20"/>
        <v>34.5</v>
      </c>
      <c r="AB164" s="117">
        <f>LOOKUP(I164,'Pattern lookup'!$A$4:$A$21,'Pattern lookup'!$H$4:$H$21)*X164</f>
        <v>24</v>
      </c>
    </row>
    <row r="165" spans="1:28" ht="15" customHeight="1" x14ac:dyDescent="0.2">
      <c r="A165" s="91">
        <v>1</v>
      </c>
      <c r="B165" s="47" t="s">
        <v>254</v>
      </c>
      <c r="C165" s="47" t="s">
        <v>258</v>
      </c>
      <c r="D165" s="8" t="s">
        <v>219</v>
      </c>
      <c r="E165" s="8" t="s">
        <v>169</v>
      </c>
      <c r="F165" s="114" t="s">
        <v>108</v>
      </c>
      <c r="G165" s="8" t="s">
        <v>100</v>
      </c>
      <c r="H165" s="8" t="s">
        <v>88</v>
      </c>
      <c r="I165" s="14" t="s">
        <v>295</v>
      </c>
      <c r="J165" s="69">
        <f>LOOKUP(I165,'Pattern lookup'!$A$4:$A$21,'Pattern lookup'!$F$4:$F$21)</f>
        <v>0</v>
      </c>
      <c r="K165" s="54">
        <v>2</v>
      </c>
      <c r="L165" s="13">
        <f ca="1">LOOKUP(I165,'Pattern lookup'!$A$4:$A$29,'Pattern lookup'!$C$4:$C$17)</f>
        <v>0</v>
      </c>
      <c r="M165" s="9">
        <f ca="1">LOOKUP(I165,'Pattern lookup'!$A$4:$A$29,'Pattern lookup'!$D$4:$D$17)</f>
        <v>0</v>
      </c>
      <c r="N165" s="9">
        <f ca="1">LOOKUP(I165,'Pattern lookup'!$A$4:$A$29,'Pattern lookup'!$E$4:$E$17)</f>
        <v>2.1</v>
      </c>
      <c r="O165" s="42">
        <f t="shared" si="14"/>
        <v>0</v>
      </c>
      <c r="P165" s="52">
        <f t="shared" ca="1" si="15"/>
        <v>4.2</v>
      </c>
      <c r="Q165" s="56" t="s">
        <v>452</v>
      </c>
      <c r="R165">
        <f t="shared" ca="1" si="16"/>
        <v>4.2</v>
      </c>
      <c r="S165" s="54"/>
      <c r="T165" s="42">
        <f t="shared" ca="1" si="17"/>
        <v>4.2</v>
      </c>
      <c r="U165">
        <f t="shared" ca="1" si="18"/>
        <v>0</v>
      </c>
      <c r="V165" s="8"/>
      <c r="W165" s="90"/>
      <c r="X165" s="54"/>
      <c r="Y165">
        <f t="shared" ca="1" si="19"/>
        <v>0</v>
      </c>
      <c r="Z165" s="117"/>
      <c r="AA165" s="117">
        <f t="shared" ca="1" si="20"/>
        <v>0</v>
      </c>
      <c r="AB165" s="117">
        <f>LOOKUP(I165,'Pattern lookup'!$A$4:$A$21,'Pattern lookup'!$H$4:$H$21)*X165</f>
        <v>0</v>
      </c>
    </row>
    <row r="166" spans="1:28" ht="15" customHeight="1" x14ac:dyDescent="0.2">
      <c r="A166" s="91">
        <v>1</v>
      </c>
      <c r="B166" s="47" t="s">
        <v>254</v>
      </c>
      <c r="C166" s="47" t="s">
        <v>258</v>
      </c>
      <c r="D166" s="8" t="s">
        <v>218</v>
      </c>
      <c r="E166" s="8" t="s">
        <v>204</v>
      </c>
      <c r="F166" s="93" t="s">
        <v>99</v>
      </c>
      <c r="G166" s="8" t="s">
        <v>100</v>
      </c>
      <c r="H166" s="8" t="s">
        <v>87</v>
      </c>
      <c r="I166" s="14" t="s">
        <v>268</v>
      </c>
      <c r="J166" s="69">
        <f>LOOKUP(I166,'Pattern lookup'!$A$4:$A$21,'Pattern lookup'!$F$4:$F$21)</f>
        <v>20</v>
      </c>
      <c r="K166" s="54">
        <v>10</v>
      </c>
      <c r="L166" s="13">
        <f ca="1">LOOKUP(I166,'Pattern lookup'!$A$4:$A$29,'Pattern lookup'!$C$4:$C$17)</f>
        <v>110</v>
      </c>
      <c r="M166" s="9">
        <f ca="1">LOOKUP(I166,'Pattern lookup'!$A$4:$A$29,'Pattern lookup'!$D$4:$D$17)</f>
        <v>66</v>
      </c>
      <c r="N166" s="9">
        <f ca="1">LOOKUP(I166,'Pattern lookup'!$A$4:$A$29,'Pattern lookup'!$E$4:$E$17)</f>
        <v>0.7</v>
      </c>
      <c r="O166" s="42">
        <f t="shared" si="14"/>
        <v>1</v>
      </c>
      <c r="P166" s="52">
        <f t="shared" ca="1" si="15"/>
        <v>183</v>
      </c>
      <c r="Q166" s="56" t="s">
        <v>455</v>
      </c>
      <c r="R166">
        <f t="shared" ca="1" si="16"/>
        <v>117</v>
      </c>
      <c r="S166" s="54">
        <v>1</v>
      </c>
      <c r="T166" s="42">
        <f t="shared" ca="1" si="17"/>
        <v>183</v>
      </c>
      <c r="U166">
        <f t="shared" ca="1" si="18"/>
        <v>0</v>
      </c>
      <c r="V166" s="8"/>
      <c r="W166" s="90"/>
      <c r="X166" s="54"/>
      <c r="Y166">
        <f t="shared" ca="1" si="19"/>
        <v>0</v>
      </c>
      <c r="Z166" s="117"/>
      <c r="AA166" s="117">
        <f t="shared" ca="1" si="20"/>
        <v>0</v>
      </c>
      <c r="AB166" s="117">
        <f>LOOKUP(I166,'Pattern lookup'!$A$4:$A$21,'Pattern lookup'!$H$4:$H$21)*X166</f>
        <v>0</v>
      </c>
    </row>
    <row r="167" spans="1:28" ht="15" customHeight="1" x14ac:dyDescent="0.2">
      <c r="A167" s="91">
        <v>1</v>
      </c>
      <c r="B167" s="47" t="s">
        <v>254</v>
      </c>
      <c r="C167" s="47" t="s">
        <v>258</v>
      </c>
      <c r="D167" s="8" t="s">
        <v>218</v>
      </c>
      <c r="E167" s="8" t="s">
        <v>204</v>
      </c>
      <c r="F167" s="93" t="s">
        <v>99</v>
      </c>
      <c r="G167" s="8" t="s">
        <v>100</v>
      </c>
      <c r="H167" s="8" t="s">
        <v>88</v>
      </c>
      <c r="I167" s="14" t="s">
        <v>295</v>
      </c>
      <c r="J167" s="69">
        <f>LOOKUP(I167,'Pattern lookup'!$A$4:$A$21,'Pattern lookup'!$F$4:$F$21)</f>
        <v>0</v>
      </c>
      <c r="K167" s="54">
        <v>2</v>
      </c>
      <c r="L167" s="13">
        <f ca="1">LOOKUP(I167,'Pattern lookup'!$A$4:$A$29,'Pattern lookup'!$C$4:$C$17)</f>
        <v>0</v>
      </c>
      <c r="M167" s="9">
        <f ca="1">LOOKUP(I167,'Pattern lookup'!$A$4:$A$29,'Pattern lookup'!$D$4:$D$17)</f>
        <v>0</v>
      </c>
      <c r="N167" s="9">
        <f ca="1">LOOKUP(I167,'Pattern lookup'!$A$4:$A$29,'Pattern lookup'!$E$4:$E$17)</f>
        <v>2.1</v>
      </c>
      <c r="O167" s="42">
        <f t="shared" si="14"/>
        <v>0</v>
      </c>
      <c r="P167" s="52">
        <f t="shared" ca="1" si="15"/>
        <v>4.2</v>
      </c>
      <c r="Q167" s="56" t="s">
        <v>455</v>
      </c>
      <c r="R167">
        <f t="shared" ca="1" si="16"/>
        <v>4.2</v>
      </c>
      <c r="S167" s="54">
        <v>1</v>
      </c>
      <c r="T167" s="42">
        <f t="shared" ca="1" si="17"/>
        <v>4.2</v>
      </c>
      <c r="U167">
        <f t="shared" ca="1" si="18"/>
        <v>0</v>
      </c>
      <c r="V167" s="8"/>
      <c r="W167" s="90"/>
      <c r="X167" s="54"/>
      <c r="Y167">
        <f t="shared" ca="1" si="19"/>
        <v>0</v>
      </c>
      <c r="Z167" s="117"/>
      <c r="AA167" s="117">
        <f t="shared" ca="1" si="20"/>
        <v>0</v>
      </c>
      <c r="AB167" s="117">
        <f>LOOKUP(I167,'Pattern lookup'!$A$4:$A$21,'Pattern lookup'!$H$4:$H$21)*X167</f>
        <v>0</v>
      </c>
    </row>
    <row r="168" spans="1:28" ht="15" customHeight="1" x14ac:dyDescent="0.2">
      <c r="A168" s="91">
        <v>1</v>
      </c>
      <c r="B168" s="47" t="s">
        <v>254</v>
      </c>
      <c r="C168" s="47" t="s">
        <v>258</v>
      </c>
      <c r="D168" s="8" t="s">
        <v>228</v>
      </c>
      <c r="E168" s="8" t="s">
        <v>170</v>
      </c>
      <c r="F168" s="93" t="s">
        <v>99</v>
      </c>
      <c r="G168" s="8" t="s">
        <v>100</v>
      </c>
      <c r="H168" s="8" t="s">
        <v>87</v>
      </c>
      <c r="I168" s="14" t="s">
        <v>59</v>
      </c>
      <c r="J168" s="69">
        <f>LOOKUP(I168,'Pattern lookup'!$A$4:$A$21,'Pattern lookup'!$F$4:$F$21)</f>
        <v>15</v>
      </c>
      <c r="K168" s="54">
        <v>10</v>
      </c>
      <c r="L168" s="13">
        <f ca="1">LOOKUP(I168,'Pattern lookup'!$A$4:$A$29,'Pattern lookup'!$C$4:$C$17)</f>
        <v>12</v>
      </c>
      <c r="M168" s="9">
        <f ca="1">LOOKUP(I168,'Pattern lookup'!$A$4:$A$29,'Pattern lookup'!$D$4:$D$17)</f>
        <v>34.5</v>
      </c>
      <c r="N168" s="9">
        <f ca="1">LOOKUP(I168,'Pattern lookup'!$A$4:$A$29,'Pattern lookup'!$E$4:$E$17)</f>
        <v>0.7</v>
      </c>
      <c r="O168" s="42">
        <f t="shared" si="14"/>
        <v>1</v>
      </c>
      <c r="P168" s="52">
        <f t="shared" ca="1" si="15"/>
        <v>53.5</v>
      </c>
      <c r="Q168" s="56" t="s">
        <v>458</v>
      </c>
      <c r="R168">
        <f t="shared" ca="1" si="16"/>
        <v>19</v>
      </c>
      <c r="S168" s="54">
        <v>1</v>
      </c>
      <c r="T168" s="42">
        <f t="shared" ca="1" si="17"/>
        <v>53.5</v>
      </c>
      <c r="U168">
        <f t="shared" ca="1" si="18"/>
        <v>0</v>
      </c>
      <c r="V168" s="8"/>
      <c r="W168" s="90"/>
      <c r="X168" s="54"/>
      <c r="Y168">
        <f t="shared" ca="1" si="19"/>
        <v>0</v>
      </c>
      <c r="Z168" s="117"/>
      <c r="AA168" s="117">
        <f t="shared" ca="1" si="20"/>
        <v>0</v>
      </c>
      <c r="AB168" s="117">
        <f>LOOKUP(I168,'Pattern lookup'!$A$4:$A$21,'Pattern lookup'!$H$4:$H$21)*X168</f>
        <v>0</v>
      </c>
    </row>
    <row r="169" spans="1:28" ht="15" customHeight="1" x14ac:dyDescent="0.2">
      <c r="A169" s="91">
        <v>1</v>
      </c>
      <c r="B169" s="47" t="s">
        <v>254</v>
      </c>
      <c r="C169" s="47" t="s">
        <v>258</v>
      </c>
      <c r="D169" s="8" t="s">
        <v>225</v>
      </c>
      <c r="E169" s="8" t="s">
        <v>171</v>
      </c>
      <c r="F169" s="93" t="s">
        <v>99</v>
      </c>
      <c r="G169" s="8" t="s">
        <v>100</v>
      </c>
      <c r="H169" s="8" t="s">
        <v>87</v>
      </c>
      <c r="I169" s="14" t="s">
        <v>59</v>
      </c>
      <c r="J169" s="69">
        <f>LOOKUP(I169,'Pattern lookup'!$A$4:$A$21,'Pattern lookup'!$F$4:$F$21)</f>
        <v>15</v>
      </c>
      <c r="K169" s="54">
        <v>10</v>
      </c>
      <c r="L169" s="13">
        <f ca="1">LOOKUP(I169,'Pattern lookup'!$A$4:$A$29,'Pattern lookup'!$C$4:$C$17)</f>
        <v>12</v>
      </c>
      <c r="M169" s="9">
        <f ca="1">LOOKUP(I169,'Pattern lookup'!$A$4:$A$29,'Pattern lookup'!$D$4:$D$17)</f>
        <v>34.5</v>
      </c>
      <c r="N169" s="9">
        <f ca="1">LOOKUP(I169,'Pattern lookup'!$A$4:$A$29,'Pattern lookup'!$E$4:$E$17)</f>
        <v>0.7</v>
      </c>
      <c r="O169" s="42">
        <f t="shared" si="14"/>
        <v>1</v>
      </c>
      <c r="P169" s="52">
        <f t="shared" ca="1" si="15"/>
        <v>53.5</v>
      </c>
      <c r="Q169" s="56" t="s">
        <v>447</v>
      </c>
      <c r="R169">
        <f t="shared" ca="1" si="16"/>
        <v>19</v>
      </c>
      <c r="S169" s="54"/>
      <c r="T169" s="42">
        <f t="shared" ca="1" si="17"/>
        <v>19</v>
      </c>
      <c r="U169">
        <f t="shared" ca="1" si="18"/>
        <v>34.5</v>
      </c>
      <c r="V169" s="92"/>
      <c r="W169" s="90"/>
      <c r="X169" s="54">
        <v>1</v>
      </c>
      <c r="Y169">
        <f t="shared" ca="1" si="19"/>
        <v>0</v>
      </c>
      <c r="Z169" s="117"/>
      <c r="AA169" s="117">
        <f t="shared" ca="1" si="20"/>
        <v>34.5</v>
      </c>
      <c r="AB169" s="117">
        <f>LOOKUP(I169,'Pattern lookup'!$A$4:$A$21,'Pattern lookup'!$H$4:$H$21)*X169</f>
        <v>24</v>
      </c>
    </row>
    <row r="170" spans="1:28" ht="15" customHeight="1" x14ac:dyDescent="0.2">
      <c r="A170" s="91">
        <v>1</v>
      </c>
      <c r="B170" s="47" t="s">
        <v>254</v>
      </c>
      <c r="C170" s="47" t="s">
        <v>258</v>
      </c>
      <c r="D170" s="8" t="s">
        <v>225</v>
      </c>
      <c r="E170" s="8" t="s">
        <v>171</v>
      </c>
      <c r="F170" s="93" t="s">
        <v>99</v>
      </c>
      <c r="G170" s="8" t="s">
        <v>100</v>
      </c>
      <c r="H170" s="8" t="s">
        <v>88</v>
      </c>
      <c r="I170" s="14" t="s">
        <v>295</v>
      </c>
      <c r="J170" s="69">
        <f>LOOKUP(I170,'Pattern lookup'!$A$4:$A$21,'Pattern lookup'!$F$4:$F$21)</f>
        <v>0</v>
      </c>
      <c r="K170" s="54">
        <v>2</v>
      </c>
      <c r="L170" s="13">
        <f ca="1">LOOKUP(I170,'Pattern lookup'!$A$4:$A$29,'Pattern lookup'!$C$4:$C$17)</f>
        <v>0</v>
      </c>
      <c r="M170" s="9">
        <f ca="1">LOOKUP(I170,'Pattern lookup'!$A$4:$A$29,'Pattern lookup'!$D$4:$D$17)</f>
        <v>0</v>
      </c>
      <c r="N170" s="9">
        <f ca="1">LOOKUP(I170,'Pattern lookup'!$A$4:$A$29,'Pattern lookup'!$E$4:$E$17)</f>
        <v>2.1</v>
      </c>
      <c r="O170" s="42">
        <f t="shared" si="14"/>
        <v>0</v>
      </c>
      <c r="P170" s="52">
        <f t="shared" ca="1" si="15"/>
        <v>4.2</v>
      </c>
      <c r="Q170" s="56" t="s">
        <v>447</v>
      </c>
      <c r="R170">
        <f t="shared" ca="1" si="16"/>
        <v>4.2</v>
      </c>
      <c r="S170" s="54"/>
      <c r="T170" s="42">
        <f t="shared" ca="1" si="17"/>
        <v>4.2</v>
      </c>
      <c r="U170">
        <f t="shared" ca="1" si="18"/>
        <v>0</v>
      </c>
      <c r="V170" s="8"/>
      <c r="W170" s="90"/>
      <c r="X170" s="54"/>
      <c r="Y170">
        <f t="shared" ca="1" si="19"/>
        <v>0</v>
      </c>
      <c r="Z170" s="117"/>
      <c r="AA170" s="117">
        <f t="shared" ca="1" si="20"/>
        <v>0</v>
      </c>
      <c r="AB170" s="117">
        <f>LOOKUP(I170,'Pattern lookup'!$A$4:$A$21,'Pattern lookup'!$H$4:$H$21)*X170</f>
        <v>0</v>
      </c>
    </row>
    <row r="171" spans="1:28" ht="15" customHeight="1" x14ac:dyDescent="0.2">
      <c r="A171" s="91">
        <v>1</v>
      </c>
      <c r="B171" s="47" t="s">
        <v>254</v>
      </c>
      <c r="C171" s="47" t="s">
        <v>258</v>
      </c>
      <c r="D171" s="8" t="s">
        <v>234</v>
      </c>
      <c r="E171" s="8" t="s">
        <v>237</v>
      </c>
      <c r="F171" s="114" t="s">
        <v>108</v>
      </c>
      <c r="G171" s="8" t="s">
        <v>100</v>
      </c>
      <c r="H171" s="8" t="s">
        <v>87</v>
      </c>
      <c r="I171" s="14" t="s">
        <v>268</v>
      </c>
      <c r="J171" s="69">
        <f>LOOKUP(I171,'Pattern lookup'!$A$4:$A$21,'Pattern lookup'!$F$4:$F$21)</f>
        <v>20</v>
      </c>
      <c r="K171" s="54">
        <v>15</v>
      </c>
      <c r="L171" s="13">
        <f ca="1">LOOKUP(I171,'Pattern lookup'!$A$4:$A$29,'Pattern lookup'!$C$4:$C$17)</f>
        <v>110</v>
      </c>
      <c r="M171" s="9">
        <f ca="1">LOOKUP(I171,'Pattern lookup'!$A$4:$A$29,'Pattern lookup'!$D$4:$D$17)</f>
        <v>66</v>
      </c>
      <c r="N171" s="9">
        <f ca="1">LOOKUP(I171,'Pattern lookup'!$A$4:$A$29,'Pattern lookup'!$E$4:$E$17)</f>
        <v>0.7</v>
      </c>
      <c r="O171" s="42">
        <f t="shared" si="14"/>
        <v>1</v>
      </c>
      <c r="P171" s="52">
        <f t="shared" ca="1" si="15"/>
        <v>186.5</v>
      </c>
      <c r="Q171" s="55" t="s">
        <v>456</v>
      </c>
      <c r="R171">
        <f t="shared" ca="1" si="16"/>
        <v>120.5</v>
      </c>
      <c r="S171" s="54">
        <v>1</v>
      </c>
      <c r="T171" s="41">
        <f t="shared" ca="1" si="17"/>
        <v>186.5</v>
      </c>
      <c r="U171">
        <f t="shared" ca="1" si="18"/>
        <v>0</v>
      </c>
      <c r="V171" s="8"/>
      <c r="W171" s="90"/>
      <c r="X171" s="54"/>
      <c r="Y171">
        <f t="shared" ca="1" si="19"/>
        <v>0</v>
      </c>
      <c r="Z171" s="117"/>
      <c r="AA171" s="117">
        <f t="shared" ca="1" si="20"/>
        <v>0</v>
      </c>
      <c r="AB171" s="117">
        <f>LOOKUP(I171,'Pattern lookup'!$A$4:$A$21,'Pattern lookup'!$H$4:$H$21)*X171</f>
        <v>0</v>
      </c>
    </row>
    <row r="172" spans="1:28" ht="15" customHeight="1" x14ac:dyDescent="0.2">
      <c r="A172" s="91">
        <v>1</v>
      </c>
      <c r="B172" s="47" t="s">
        <v>254</v>
      </c>
      <c r="C172" s="47" t="s">
        <v>258</v>
      </c>
      <c r="D172" s="8" t="s">
        <v>214</v>
      </c>
      <c r="E172" s="8" t="s">
        <v>238</v>
      </c>
      <c r="F172" s="93" t="s">
        <v>99</v>
      </c>
      <c r="G172" s="8" t="s">
        <v>100</v>
      </c>
      <c r="H172" s="8" t="s">
        <v>87</v>
      </c>
      <c r="I172" s="14" t="s">
        <v>268</v>
      </c>
      <c r="J172" s="69">
        <f>LOOKUP(I172,'Pattern lookup'!$A$4:$A$21,'Pattern lookup'!$F$4:$F$21)</f>
        <v>20</v>
      </c>
      <c r="K172" s="54">
        <v>10</v>
      </c>
      <c r="L172" s="13">
        <f ca="1">LOOKUP(I172,'Pattern lookup'!$A$4:$A$29,'Pattern lookup'!$C$4:$C$17)</f>
        <v>110</v>
      </c>
      <c r="M172" s="9">
        <f ca="1">LOOKUP(I172,'Pattern lookup'!$A$4:$A$29,'Pattern lookup'!$D$4:$D$17)</f>
        <v>66</v>
      </c>
      <c r="N172" s="9">
        <f ca="1">LOOKUP(I172,'Pattern lookup'!$A$4:$A$29,'Pattern lookup'!$E$4:$E$17)</f>
        <v>0.7</v>
      </c>
      <c r="O172" s="42">
        <f t="shared" si="14"/>
        <v>1</v>
      </c>
      <c r="P172" s="52">
        <f t="shared" ca="1" si="15"/>
        <v>183</v>
      </c>
      <c r="Q172" s="56" t="s">
        <v>462</v>
      </c>
      <c r="R172">
        <f t="shared" ca="1" si="16"/>
        <v>117</v>
      </c>
      <c r="S172" s="54">
        <v>1</v>
      </c>
      <c r="T172" s="42">
        <f t="shared" ca="1" si="17"/>
        <v>183</v>
      </c>
      <c r="U172">
        <f t="shared" ca="1" si="18"/>
        <v>0</v>
      </c>
      <c r="V172" s="8"/>
      <c r="W172" s="90"/>
      <c r="X172" s="54"/>
      <c r="Y172">
        <f t="shared" ca="1" si="19"/>
        <v>0</v>
      </c>
      <c r="Z172" s="117"/>
      <c r="AA172" s="117">
        <f t="shared" ca="1" si="20"/>
        <v>0</v>
      </c>
      <c r="AB172" s="117">
        <f>LOOKUP(I172,'Pattern lookup'!$A$4:$A$21,'Pattern lookup'!$H$4:$H$21)*X172</f>
        <v>0</v>
      </c>
    </row>
    <row r="173" spans="1:28" ht="14.25" customHeight="1" x14ac:dyDescent="0.2">
      <c r="A173" s="91">
        <v>1</v>
      </c>
      <c r="B173" s="47" t="s">
        <v>254</v>
      </c>
      <c r="C173" s="47" t="s">
        <v>258</v>
      </c>
      <c r="D173" s="8" t="s">
        <v>209</v>
      </c>
      <c r="E173" s="8" t="s">
        <v>239</v>
      </c>
      <c r="F173" s="114" t="s">
        <v>108</v>
      </c>
      <c r="G173" s="8" t="s">
        <v>100</v>
      </c>
      <c r="H173" s="8" t="s">
        <v>87</v>
      </c>
      <c r="I173" s="14" t="s">
        <v>278</v>
      </c>
      <c r="J173" s="69">
        <f>LOOKUP(I173,'Pattern lookup'!$A$4:$A$21,'Pattern lookup'!$F$4:$F$21)</f>
        <v>1</v>
      </c>
      <c r="K173" s="54">
        <v>5</v>
      </c>
      <c r="L173" s="13">
        <f ca="1">LOOKUP(I173,'Pattern lookup'!$A$4:$A$29,'Pattern lookup'!$C$4:$C$17)</f>
        <v>3</v>
      </c>
      <c r="M173" s="9">
        <f ca="1">LOOKUP(I173,'Pattern lookup'!$A$4:$A$29,'Pattern lookup'!$D$4:$D$17)</f>
        <v>15</v>
      </c>
      <c r="N173" s="9">
        <f ca="1">LOOKUP(I173,'Pattern lookup'!$A$4:$A$29,'Pattern lookup'!$E$4:$E$17)</f>
        <v>0.35</v>
      </c>
      <c r="O173" s="42">
        <f t="shared" si="14"/>
        <v>5</v>
      </c>
      <c r="P173" s="52">
        <f t="shared" ca="1" si="15"/>
        <v>79.75</v>
      </c>
      <c r="Q173" s="56" t="s">
        <v>451</v>
      </c>
      <c r="R173">
        <f t="shared" ca="1" si="16"/>
        <v>4.75</v>
      </c>
      <c r="S173" s="54"/>
      <c r="T173" s="42">
        <f t="shared" ca="1" si="17"/>
        <v>4.75</v>
      </c>
      <c r="U173">
        <f t="shared" ca="1" si="18"/>
        <v>75</v>
      </c>
      <c r="V173" s="8">
        <v>5</v>
      </c>
      <c r="W173" s="90"/>
      <c r="X173" s="54"/>
      <c r="Y173">
        <f t="shared" ca="1" si="19"/>
        <v>0</v>
      </c>
      <c r="Z173" s="117"/>
      <c r="AA173" s="117">
        <f t="shared" ca="1" si="20"/>
        <v>0</v>
      </c>
      <c r="AB173" s="117">
        <f>LOOKUP(I173,'Pattern lookup'!$A$4:$A$21,'Pattern lookup'!$H$4:$H$21)*X173</f>
        <v>0</v>
      </c>
    </row>
    <row r="174" spans="1:28" ht="15" customHeight="1" x14ac:dyDescent="0.2">
      <c r="A174" s="91">
        <v>1</v>
      </c>
      <c r="B174" s="47" t="s">
        <v>254</v>
      </c>
      <c r="C174" s="47" t="s">
        <v>258</v>
      </c>
      <c r="D174" s="8" t="s">
        <v>209</v>
      </c>
      <c r="E174" s="8" t="s">
        <v>239</v>
      </c>
      <c r="F174" s="114" t="s">
        <v>108</v>
      </c>
      <c r="G174" s="8" t="s">
        <v>100</v>
      </c>
      <c r="H174" s="8" t="s">
        <v>88</v>
      </c>
      <c r="I174" s="14" t="s">
        <v>278</v>
      </c>
      <c r="J174" s="69">
        <f>LOOKUP(I174,'Pattern lookup'!$A$4:$A$21,'Pattern lookup'!$F$4:$F$21)</f>
        <v>1</v>
      </c>
      <c r="K174" s="54">
        <v>2</v>
      </c>
      <c r="L174" s="13">
        <f ca="1">LOOKUP(I174,'Pattern lookup'!$A$4:$A$29,'Pattern lookup'!$C$4:$C$17)</f>
        <v>3</v>
      </c>
      <c r="M174" s="9">
        <f ca="1">LOOKUP(I174,'Pattern lookup'!$A$4:$A$29,'Pattern lookup'!$D$4:$D$17)</f>
        <v>15</v>
      </c>
      <c r="N174" s="9">
        <f ca="1">LOOKUP(I174,'Pattern lookup'!$A$4:$A$29,'Pattern lookup'!$E$4:$E$17)</f>
        <v>0.35</v>
      </c>
      <c r="O174" s="42">
        <f t="shared" si="14"/>
        <v>2</v>
      </c>
      <c r="P174" s="52">
        <f t="shared" ca="1" si="15"/>
        <v>33.700000000000003</v>
      </c>
      <c r="Q174" s="56" t="s">
        <v>451</v>
      </c>
      <c r="R174">
        <f t="shared" ca="1" si="16"/>
        <v>3.7</v>
      </c>
      <c r="S174" s="54"/>
      <c r="T174" s="42">
        <f t="shared" ca="1" si="17"/>
        <v>3.7</v>
      </c>
      <c r="U174">
        <f t="shared" ca="1" si="18"/>
        <v>30.000000000000004</v>
      </c>
      <c r="V174" s="8">
        <v>2</v>
      </c>
      <c r="W174" s="90"/>
      <c r="X174" s="54"/>
      <c r="Y174">
        <f t="shared" ca="1" si="19"/>
        <v>0</v>
      </c>
      <c r="Z174" s="117"/>
      <c r="AA174" s="117">
        <f t="shared" ca="1" si="20"/>
        <v>0</v>
      </c>
      <c r="AB174" s="117">
        <f>LOOKUP(I174,'Pattern lookup'!$A$4:$A$21,'Pattern lookup'!$H$4:$H$21)*X174</f>
        <v>0</v>
      </c>
    </row>
    <row r="175" spans="1:28" ht="15" customHeight="1" x14ac:dyDescent="0.2">
      <c r="A175" s="91">
        <v>1</v>
      </c>
      <c r="B175" s="47" t="s">
        <v>254</v>
      </c>
      <c r="C175" s="47" t="s">
        <v>258</v>
      </c>
      <c r="D175" s="8" t="s">
        <v>209</v>
      </c>
      <c r="E175" s="8" t="s">
        <v>239</v>
      </c>
      <c r="F175" s="93" t="s">
        <v>99</v>
      </c>
      <c r="G175" s="8" t="s">
        <v>100</v>
      </c>
      <c r="H175" s="8" t="s">
        <v>87</v>
      </c>
      <c r="I175" s="14" t="s">
        <v>278</v>
      </c>
      <c r="J175" s="69">
        <f>LOOKUP(I175,'Pattern lookup'!$A$4:$A$21,'Pattern lookup'!$F$4:$F$21)</f>
        <v>1</v>
      </c>
      <c r="K175" s="54">
        <v>5</v>
      </c>
      <c r="L175" s="13">
        <f ca="1">LOOKUP(I175,'Pattern lookup'!$A$4:$A$29,'Pattern lookup'!$C$4:$C$17)</f>
        <v>3</v>
      </c>
      <c r="M175" s="9">
        <f ca="1">LOOKUP(I175,'Pattern lookup'!$A$4:$A$29,'Pattern lookup'!$D$4:$D$17)</f>
        <v>15</v>
      </c>
      <c r="N175" s="9">
        <f ca="1">LOOKUP(I175,'Pattern lookup'!$A$4:$A$29,'Pattern lookup'!$E$4:$E$17)</f>
        <v>0.35</v>
      </c>
      <c r="O175" s="42">
        <f t="shared" si="14"/>
        <v>5</v>
      </c>
      <c r="P175" s="52">
        <f t="shared" ca="1" si="15"/>
        <v>79.75</v>
      </c>
      <c r="Q175" s="56" t="s">
        <v>451</v>
      </c>
      <c r="R175">
        <f t="shared" ca="1" si="16"/>
        <v>4.75</v>
      </c>
      <c r="S175" s="54"/>
      <c r="T175" s="42">
        <f t="shared" ca="1" si="17"/>
        <v>4.75</v>
      </c>
      <c r="U175">
        <f t="shared" ca="1" si="18"/>
        <v>75</v>
      </c>
      <c r="V175" s="8"/>
      <c r="W175" s="90"/>
      <c r="X175" s="54">
        <v>5</v>
      </c>
      <c r="Y175">
        <f t="shared" ca="1" si="19"/>
        <v>0</v>
      </c>
      <c r="Z175" s="117" t="s">
        <v>441</v>
      </c>
      <c r="AA175" s="117">
        <f t="shared" ca="1" si="20"/>
        <v>75</v>
      </c>
      <c r="AB175" s="117">
        <f>LOOKUP(I175,'Pattern lookup'!$A$4:$A$21,'Pattern lookup'!$H$4:$H$21)*X175</f>
        <v>60</v>
      </c>
    </row>
    <row r="176" spans="1:28" ht="15" customHeight="1" x14ac:dyDescent="0.2">
      <c r="A176" s="91">
        <v>1</v>
      </c>
      <c r="B176" s="47" t="s">
        <v>254</v>
      </c>
      <c r="C176" s="47" t="s">
        <v>258</v>
      </c>
      <c r="D176" s="8" t="s">
        <v>209</v>
      </c>
      <c r="E176" s="8" t="s">
        <v>239</v>
      </c>
      <c r="F176" s="93" t="s">
        <v>99</v>
      </c>
      <c r="G176" s="8" t="s">
        <v>100</v>
      </c>
      <c r="H176" s="8" t="s">
        <v>88</v>
      </c>
      <c r="I176" s="14" t="s">
        <v>278</v>
      </c>
      <c r="J176" s="69">
        <f>LOOKUP(I176,'Pattern lookup'!$A$4:$A$21,'Pattern lookup'!$F$4:$F$21)</f>
        <v>1</v>
      </c>
      <c r="K176" s="54">
        <v>2</v>
      </c>
      <c r="L176" s="13">
        <f ca="1">LOOKUP(I176,'Pattern lookup'!$A$4:$A$29,'Pattern lookup'!$C$4:$C$17)</f>
        <v>3</v>
      </c>
      <c r="M176" s="9">
        <f ca="1">LOOKUP(I176,'Pattern lookup'!$A$4:$A$29,'Pattern lookup'!$D$4:$D$17)</f>
        <v>15</v>
      </c>
      <c r="N176" s="9">
        <f ca="1">LOOKUP(I176,'Pattern lookup'!$A$4:$A$29,'Pattern lookup'!$E$4:$E$17)</f>
        <v>0.35</v>
      </c>
      <c r="O176" s="42">
        <f t="shared" si="14"/>
        <v>2</v>
      </c>
      <c r="P176" s="52">
        <f t="shared" ca="1" si="15"/>
        <v>33.700000000000003</v>
      </c>
      <c r="Q176" s="56" t="s">
        <v>451</v>
      </c>
      <c r="R176">
        <f t="shared" ca="1" si="16"/>
        <v>3.7</v>
      </c>
      <c r="S176" s="54"/>
      <c r="T176" s="42">
        <f t="shared" ca="1" si="17"/>
        <v>3.7</v>
      </c>
      <c r="U176">
        <f t="shared" ca="1" si="18"/>
        <v>30.000000000000004</v>
      </c>
      <c r="V176" s="8"/>
      <c r="W176" s="90"/>
      <c r="X176" s="54">
        <v>2</v>
      </c>
      <c r="Y176">
        <f t="shared" ca="1" si="19"/>
        <v>0</v>
      </c>
      <c r="Z176" s="117" t="s">
        <v>441</v>
      </c>
      <c r="AA176" s="117">
        <f t="shared" ca="1" si="20"/>
        <v>30</v>
      </c>
      <c r="AB176" s="117">
        <f>LOOKUP(I176,'Pattern lookup'!$A$4:$A$21,'Pattern lookup'!$H$4:$H$21)*X176</f>
        <v>24</v>
      </c>
    </row>
    <row r="177" spans="1:28" ht="15" customHeight="1" x14ac:dyDescent="0.2">
      <c r="A177" s="91">
        <v>1</v>
      </c>
      <c r="B177" s="47" t="s">
        <v>254</v>
      </c>
      <c r="C177" s="47" t="s">
        <v>258</v>
      </c>
      <c r="D177" s="8" t="s">
        <v>220</v>
      </c>
      <c r="E177" s="8" t="s">
        <v>240</v>
      </c>
      <c r="F177" s="114" t="s">
        <v>108</v>
      </c>
      <c r="G177" s="8" t="s">
        <v>100</v>
      </c>
      <c r="H177" s="8" t="s">
        <v>87</v>
      </c>
      <c r="I177" s="14" t="s">
        <v>268</v>
      </c>
      <c r="J177" s="69">
        <f>LOOKUP(I177,'Pattern lookup'!$A$4:$A$21,'Pattern lookup'!$F$4:$F$21)</f>
        <v>20</v>
      </c>
      <c r="K177" s="54">
        <v>15</v>
      </c>
      <c r="L177" s="13">
        <f ca="1">LOOKUP(I177,'Pattern lookup'!$A$4:$A$29,'Pattern lookup'!$C$4:$C$17)</f>
        <v>110</v>
      </c>
      <c r="M177" s="9">
        <f ca="1">LOOKUP(I177,'Pattern lookup'!$A$4:$A$29,'Pattern lookup'!$D$4:$D$17)</f>
        <v>66</v>
      </c>
      <c r="N177" s="9">
        <f ca="1">LOOKUP(I177,'Pattern lookup'!$A$4:$A$29,'Pattern lookup'!$E$4:$E$17)</f>
        <v>0.7</v>
      </c>
      <c r="O177" s="42">
        <f t="shared" si="14"/>
        <v>1</v>
      </c>
      <c r="P177" s="52">
        <f t="shared" ca="1" si="15"/>
        <v>186.5</v>
      </c>
      <c r="Q177" s="56" t="s">
        <v>449</v>
      </c>
      <c r="R177">
        <f t="shared" ca="1" si="16"/>
        <v>120.5</v>
      </c>
      <c r="S177" s="54">
        <v>1</v>
      </c>
      <c r="T177" s="42">
        <f t="shared" ca="1" si="17"/>
        <v>186.5</v>
      </c>
      <c r="U177">
        <f t="shared" ca="1" si="18"/>
        <v>0</v>
      </c>
      <c r="V177" s="92"/>
      <c r="W177" s="90"/>
      <c r="X177" s="54"/>
      <c r="Y177">
        <f t="shared" ca="1" si="19"/>
        <v>0</v>
      </c>
      <c r="Z177" s="117"/>
      <c r="AA177" s="117">
        <f t="shared" ca="1" si="20"/>
        <v>0</v>
      </c>
      <c r="AB177" s="117">
        <f>LOOKUP(I177,'Pattern lookup'!$A$4:$A$21,'Pattern lookup'!$H$4:$H$21)*X177</f>
        <v>0</v>
      </c>
    </row>
    <row r="178" spans="1:28" ht="15" customHeight="1" x14ac:dyDescent="0.2">
      <c r="A178" s="91">
        <v>1</v>
      </c>
      <c r="B178" s="47" t="s">
        <v>254</v>
      </c>
      <c r="C178" s="47" t="s">
        <v>258</v>
      </c>
      <c r="D178" s="8" t="s">
        <v>233</v>
      </c>
      <c r="E178" s="8" t="s">
        <v>241</v>
      </c>
      <c r="F178" s="93" t="s">
        <v>99</v>
      </c>
      <c r="G178" s="8" t="s">
        <v>100</v>
      </c>
      <c r="H178" s="8" t="s">
        <v>87</v>
      </c>
      <c r="I178" s="14" t="s">
        <v>268</v>
      </c>
      <c r="J178" s="69">
        <f>LOOKUP(I178,'Pattern lookup'!$A$4:$A$21,'Pattern lookup'!$F$4:$F$21)</f>
        <v>20</v>
      </c>
      <c r="K178" s="54">
        <v>11</v>
      </c>
      <c r="L178" s="13">
        <f ca="1">LOOKUP(I178,'Pattern lookup'!$A$4:$A$29,'Pattern lookup'!$C$4:$C$17)</f>
        <v>110</v>
      </c>
      <c r="M178" s="9">
        <f ca="1">LOOKUP(I178,'Pattern lookup'!$A$4:$A$29,'Pattern lookup'!$D$4:$D$17)</f>
        <v>66</v>
      </c>
      <c r="N178" s="9">
        <f ca="1">LOOKUP(I178,'Pattern lookup'!$A$4:$A$29,'Pattern lookup'!$E$4:$E$17)</f>
        <v>0.7</v>
      </c>
      <c r="O178" s="42">
        <f t="shared" si="14"/>
        <v>1</v>
      </c>
      <c r="P178" s="52">
        <f t="shared" ca="1" si="15"/>
        <v>183.7</v>
      </c>
      <c r="Q178" s="55" t="s">
        <v>456</v>
      </c>
      <c r="R178">
        <f t="shared" ca="1" si="16"/>
        <v>117.7</v>
      </c>
      <c r="S178" s="54">
        <v>1</v>
      </c>
      <c r="T178" s="42">
        <f t="shared" ca="1" si="17"/>
        <v>183.7</v>
      </c>
      <c r="U178">
        <f t="shared" ca="1" si="18"/>
        <v>0</v>
      </c>
      <c r="V178" s="8"/>
      <c r="W178" s="90"/>
      <c r="X178" s="54"/>
      <c r="Y178">
        <f t="shared" ca="1" si="19"/>
        <v>0</v>
      </c>
      <c r="Z178" s="117"/>
      <c r="AA178" s="117">
        <f t="shared" ca="1" si="20"/>
        <v>0</v>
      </c>
      <c r="AB178" s="117">
        <f>LOOKUP(I178,'Pattern lookup'!$A$4:$A$21,'Pattern lookup'!$H$4:$H$21)*X178</f>
        <v>0</v>
      </c>
    </row>
    <row r="179" spans="1:28" ht="15" customHeight="1" x14ac:dyDescent="0.2">
      <c r="A179" s="91">
        <v>1</v>
      </c>
      <c r="B179" s="47" t="s">
        <v>254</v>
      </c>
      <c r="C179" s="47" t="s">
        <v>258</v>
      </c>
      <c r="D179" s="8" t="s">
        <v>221</v>
      </c>
      <c r="E179" s="8" t="s">
        <v>242</v>
      </c>
      <c r="F179" s="93" t="s">
        <v>99</v>
      </c>
      <c r="G179" s="8" t="s">
        <v>100</v>
      </c>
      <c r="H179" s="8" t="s">
        <v>87</v>
      </c>
      <c r="I179" s="14" t="s">
        <v>268</v>
      </c>
      <c r="J179" s="69">
        <f>LOOKUP(I179,'Pattern lookup'!$A$4:$A$21,'Pattern lookup'!$F$4:$F$21)</f>
        <v>20</v>
      </c>
      <c r="K179" s="54">
        <v>10</v>
      </c>
      <c r="L179" s="13">
        <f ca="1">LOOKUP(I179,'Pattern lookup'!$A$4:$A$29,'Pattern lookup'!$C$4:$C$17)</f>
        <v>110</v>
      </c>
      <c r="M179" s="9">
        <f ca="1">LOOKUP(I179,'Pattern lookup'!$A$4:$A$29,'Pattern lookup'!$D$4:$D$17)</f>
        <v>66</v>
      </c>
      <c r="N179" s="9">
        <f ca="1">LOOKUP(I179,'Pattern lookup'!$A$4:$A$29,'Pattern lookup'!$E$4:$E$17)</f>
        <v>0.7</v>
      </c>
      <c r="O179" s="42">
        <f t="shared" si="14"/>
        <v>1</v>
      </c>
      <c r="P179" s="52">
        <f t="shared" ca="1" si="15"/>
        <v>183</v>
      </c>
      <c r="Q179" s="56" t="s">
        <v>457</v>
      </c>
      <c r="R179">
        <f t="shared" ca="1" si="16"/>
        <v>117</v>
      </c>
      <c r="S179" s="54"/>
      <c r="T179" s="42">
        <f t="shared" ca="1" si="17"/>
        <v>117</v>
      </c>
      <c r="U179">
        <f t="shared" ca="1" si="18"/>
        <v>66</v>
      </c>
      <c r="V179" s="8"/>
      <c r="W179" s="90"/>
      <c r="X179" s="54">
        <v>1</v>
      </c>
      <c r="Y179">
        <f t="shared" ca="1" si="19"/>
        <v>0</v>
      </c>
      <c r="Z179" s="117" t="s">
        <v>439</v>
      </c>
      <c r="AA179" s="117">
        <f t="shared" ca="1" si="20"/>
        <v>66</v>
      </c>
      <c r="AB179" s="117">
        <f>LOOKUP(I179,'Pattern lookup'!$A$4:$A$21,'Pattern lookup'!$H$4:$H$21)*X179</f>
        <v>0</v>
      </c>
    </row>
    <row r="180" spans="1:28" x14ac:dyDescent="0.2">
      <c r="A180" s="91">
        <v>1</v>
      </c>
      <c r="B180" s="47" t="s">
        <v>254</v>
      </c>
      <c r="C180" s="47" t="s">
        <v>258</v>
      </c>
      <c r="D180" s="8" t="s">
        <v>212</v>
      </c>
      <c r="E180" s="8" t="s">
        <v>198</v>
      </c>
      <c r="F180" s="114" t="s">
        <v>108</v>
      </c>
      <c r="G180" s="8" t="s">
        <v>100</v>
      </c>
      <c r="H180" s="8" t="s">
        <v>87</v>
      </c>
      <c r="I180" s="14" t="s">
        <v>59</v>
      </c>
      <c r="J180" s="69">
        <f>LOOKUP(I180,'Pattern lookup'!$A$4:$A$21,'Pattern lookup'!$F$4:$F$21)</f>
        <v>15</v>
      </c>
      <c r="K180" s="54">
        <v>10</v>
      </c>
      <c r="L180" s="13">
        <f ca="1">LOOKUP(I180,'Pattern lookup'!$A$4:$A$29,'Pattern lookup'!$C$4:$C$17)</f>
        <v>12</v>
      </c>
      <c r="M180" s="9">
        <f ca="1">LOOKUP(I180,'Pattern lookup'!$A$4:$A$29,'Pattern lookup'!$D$4:$D$17)</f>
        <v>34.5</v>
      </c>
      <c r="N180" s="9">
        <f ca="1">LOOKUP(I180,'Pattern lookup'!$A$4:$A$29,'Pattern lookup'!$E$4:$E$17)</f>
        <v>0.7</v>
      </c>
      <c r="O180" s="42">
        <f t="shared" ref="O180:O199" si="21">IF(J180&lt;&gt;0, ROUNDUP(K180/J180,0), 0)</f>
        <v>1</v>
      </c>
      <c r="P180" s="52">
        <f t="shared" ref="P180:P199" ca="1" si="22">IF(A180=1,(L180+M180*O180+N180*K180),0)</f>
        <v>53.5</v>
      </c>
      <c r="Q180" s="56" t="s">
        <v>267</v>
      </c>
      <c r="R180">
        <f t="shared" ref="R180:R205" si="23">IF(AND(Q180&lt;&gt;"0 - Unallocated",Q180&lt;&gt;"z - Cancelled"),L180+N180*K180,)</f>
        <v>0</v>
      </c>
      <c r="S180" s="54"/>
      <c r="T180" s="42">
        <f t="shared" ref="T180:T205" ca="1" si="24">R180+S180*M180</f>
        <v>0</v>
      </c>
      <c r="U180">
        <f t="shared" ref="U180:U205" ca="1" si="25">P180-T180</f>
        <v>53.5</v>
      </c>
      <c r="V180" s="8"/>
      <c r="W180" s="90"/>
      <c r="X180" s="54"/>
      <c r="Y180">
        <f t="shared" ref="Y180:Y205" ca="1" si="26">U180-(X180*M180+V180*M180)</f>
        <v>53.5</v>
      </c>
      <c r="Z180" s="142" t="s">
        <v>442</v>
      </c>
      <c r="AA180" s="117">
        <f t="shared" ref="AA180:AA227" ca="1" si="27">X180*M180</f>
        <v>0</v>
      </c>
      <c r="AB180" s="117">
        <f>LOOKUP(I180,'Pattern lookup'!$A$4:$A$21,'Pattern lookup'!$H$4:$H$21)*X180</f>
        <v>0</v>
      </c>
    </row>
    <row r="181" spans="1:28" x14ac:dyDescent="0.2">
      <c r="A181" s="91">
        <v>1</v>
      </c>
      <c r="B181" s="47" t="s">
        <v>254</v>
      </c>
      <c r="C181" s="47" t="s">
        <v>258</v>
      </c>
      <c r="D181" s="8" t="s">
        <v>212</v>
      </c>
      <c r="E181" s="8" t="s">
        <v>198</v>
      </c>
      <c r="F181" s="114" t="s">
        <v>108</v>
      </c>
      <c r="G181" s="8" t="s">
        <v>100</v>
      </c>
      <c r="H181" s="8" t="s">
        <v>88</v>
      </c>
      <c r="I181" s="14" t="s">
        <v>295</v>
      </c>
      <c r="J181" s="69">
        <f>LOOKUP(I181,'Pattern lookup'!$A$4:$A$21,'Pattern lookup'!$F$4:$F$21)</f>
        <v>0</v>
      </c>
      <c r="K181" s="54">
        <v>2</v>
      </c>
      <c r="L181" s="13">
        <f ca="1">LOOKUP(I181,'Pattern lookup'!$A$4:$A$29,'Pattern lookup'!$C$4:$C$17)</f>
        <v>0</v>
      </c>
      <c r="M181" s="9">
        <f ca="1">LOOKUP(I181,'Pattern lookup'!$A$4:$A$29,'Pattern lookup'!$D$4:$D$17)</f>
        <v>0</v>
      </c>
      <c r="N181" s="9">
        <f ca="1">LOOKUP(I181,'Pattern lookup'!$A$4:$A$29,'Pattern lookup'!$E$4:$E$17)</f>
        <v>2.1</v>
      </c>
      <c r="O181" s="42">
        <f t="shared" si="21"/>
        <v>0</v>
      </c>
      <c r="P181" s="52">
        <f t="shared" ca="1" si="22"/>
        <v>4.2</v>
      </c>
      <c r="Q181" s="56" t="s">
        <v>267</v>
      </c>
      <c r="R181">
        <f t="shared" si="23"/>
        <v>0</v>
      </c>
      <c r="S181" s="54">
        <v>1</v>
      </c>
      <c r="T181" s="42">
        <f t="shared" ca="1" si="24"/>
        <v>0</v>
      </c>
      <c r="U181">
        <f t="shared" ca="1" si="25"/>
        <v>4.2</v>
      </c>
      <c r="V181" s="8"/>
      <c r="W181" s="90"/>
      <c r="X181" s="54"/>
      <c r="Y181">
        <f t="shared" ca="1" si="26"/>
        <v>4.2</v>
      </c>
      <c r="Z181" s="142" t="s">
        <v>442</v>
      </c>
      <c r="AA181" s="117">
        <f t="shared" ca="1" si="27"/>
        <v>0</v>
      </c>
      <c r="AB181" s="117">
        <f>LOOKUP(I181,'Pattern lookup'!$A$4:$A$21,'Pattern lookup'!$H$4:$H$21)*X181</f>
        <v>0</v>
      </c>
    </row>
    <row r="182" spans="1:28" ht="15" customHeight="1" x14ac:dyDescent="0.2">
      <c r="A182" s="91">
        <v>1</v>
      </c>
      <c r="B182" s="47" t="s">
        <v>254</v>
      </c>
      <c r="C182" s="47" t="s">
        <v>258</v>
      </c>
      <c r="D182" s="8" t="s">
        <v>222</v>
      </c>
      <c r="E182" s="8" t="s">
        <v>200</v>
      </c>
      <c r="F182" s="93" t="s">
        <v>99</v>
      </c>
      <c r="G182" s="8" t="s">
        <v>100</v>
      </c>
      <c r="H182" s="8" t="s">
        <v>87</v>
      </c>
      <c r="I182" s="14" t="s">
        <v>59</v>
      </c>
      <c r="J182" s="69">
        <f>LOOKUP(I182,'Pattern lookup'!$A$4:$A$21,'Pattern lookup'!$F$4:$F$21)</f>
        <v>15</v>
      </c>
      <c r="K182" s="54">
        <v>10</v>
      </c>
      <c r="L182" s="13">
        <f ca="1">LOOKUP(I182,'Pattern lookup'!$A$4:$A$29,'Pattern lookup'!$C$4:$C$17)</f>
        <v>12</v>
      </c>
      <c r="M182" s="9">
        <f ca="1">LOOKUP(I182,'Pattern lookup'!$A$4:$A$29,'Pattern lookup'!$D$4:$D$17)</f>
        <v>34.5</v>
      </c>
      <c r="N182" s="9">
        <f ca="1">LOOKUP(I182,'Pattern lookup'!$A$4:$A$29,'Pattern lookup'!$E$4:$E$17)</f>
        <v>0.7</v>
      </c>
      <c r="O182" s="42">
        <f t="shared" si="21"/>
        <v>1</v>
      </c>
      <c r="P182" s="52">
        <f t="shared" ca="1" si="22"/>
        <v>53.5</v>
      </c>
      <c r="Q182" s="56" t="s">
        <v>453</v>
      </c>
      <c r="R182">
        <f t="shared" ca="1" si="23"/>
        <v>19</v>
      </c>
      <c r="S182" s="54">
        <v>1</v>
      </c>
      <c r="T182" s="41">
        <f t="shared" ca="1" si="24"/>
        <v>53.5</v>
      </c>
      <c r="U182">
        <f t="shared" ca="1" si="25"/>
        <v>0</v>
      </c>
      <c r="V182" s="8"/>
      <c r="W182" s="90"/>
      <c r="X182" s="54"/>
      <c r="Y182">
        <f t="shared" ca="1" si="26"/>
        <v>0</v>
      </c>
      <c r="Z182" s="117"/>
      <c r="AA182" s="117">
        <f t="shared" ca="1" si="27"/>
        <v>0</v>
      </c>
      <c r="AB182" s="117">
        <f>LOOKUP(I182,'Pattern lookup'!$A$4:$A$21,'Pattern lookup'!$H$4:$H$21)*X182</f>
        <v>0</v>
      </c>
    </row>
    <row r="183" spans="1:28" ht="15" customHeight="1" x14ac:dyDescent="0.2">
      <c r="A183" s="91">
        <v>1</v>
      </c>
      <c r="B183" s="47" t="s">
        <v>254</v>
      </c>
      <c r="C183" s="47" t="s">
        <v>258</v>
      </c>
      <c r="D183" s="8" t="s">
        <v>210</v>
      </c>
      <c r="E183" s="8" t="s">
        <v>201</v>
      </c>
      <c r="F183" s="93" t="s">
        <v>99</v>
      </c>
      <c r="G183" s="8" t="s">
        <v>100</v>
      </c>
      <c r="H183" s="8" t="s">
        <v>87</v>
      </c>
      <c r="I183" s="14" t="s">
        <v>59</v>
      </c>
      <c r="J183" s="69">
        <f>LOOKUP(I183,'Pattern lookup'!$A$4:$A$21,'Pattern lookup'!$F$4:$F$21)</f>
        <v>15</v>
      </c>
      <c r="K183" s="54">
        <v>5</v>
      </c>
      <c r="L183" s="13">
        <f ca="1">LOOKUP(I183,'Pattern lookup'!$A$4:$A$29,'Pattern lookup'!$C$4:$C$17)</f>
        <v>12</v>
      </c>
      <c r="M183" s="9">
        <f ca="1">LOOKUP(I183,'Pattern lookup'!$A$4:$A$29,'Pattern lookup'!$D$4:$D$17)</f>
        <v>34.5</v>
      </c>
      <c r="N183" s="9">
        <f ca="1">LOOKUP(I183,'Pattern lookup'!$A$4:$A$29,'Pattern lookup'!$E$4:$E$17)</f>
        <v>0.7</v>
      </c>
      <c r="O183" s="42">
        <f t="shared" si="21"/>
        <v>1</v>
      </c>
      <c r="P183" s="52">
        <f t="shared" ca="1" si="22"/>
        <v>50</v>
      </c>
      <c r="Q183" s="56" t="s">
        <v>450</v>
      </c>
      <c r="R183">
        <f t="shared" ca="1" si="23"/>
        <v>15.5</v>
      </c>
      <c r="S183" s="54">
        <v>1</v>
      </c>
      <c r="T183" s="42">
        <f t="shared" ca="1" si="24"/>
        <v>50</v>
      </c>
      <c r="U183">
        <f t="shared" ca="1" si="25"/>
        <v>0</v>
      </c>
      <c r="V183" s="8"/>
      <c r="W183" s="90"/>
      <c r="X183" s="54"/>
      <c r="Y183">
        <f t="shared" ca="1" si="26"/>
        <v>0</v>
      </c>
      <c r="Z183" s="117"/>
      <c r="AA183" s="117">
        <f t="shared" ca="1" si="27"/>
        <v>0</v>
      </c>
      <c r="AB183" s="117">
        <f>LOOKUP(I183,'Pattern lookup'!$A$4:$A$21,'Pattern lookup'!$H$4:$H$21)*X183</f>
        <v>0</v>
      </c>
    </row>
    <row r="184" spans="1:28" ht="15" customHeight="1" x14ac:dyDescent="0.2">
      <c r="A184" s="91">
        <v>1</v>
      </c>
      <c r="B184" s="47" t="s">
        <v>254</v>
      </c>
      <c r="C184" s="47" t="s">
        <v>258</v>
      </c>
      <c r="D184" s="8" t="s">
        <v>216</v>
      </c>
      <c r="E184" s="8" t="s">
        <v>202</v>
      </c>
      <c r="F184" s="114" t="s">
        <v>108</v>
      </c>
      <c r="G184" s="8" t="s">
        <v>100</v>
      </c>
      <c r="H184" s="8" t="s">
        <v>87</v>
      </c>
      <c r="I184" s="14" t="s">
        <v>59</v>
      </c>
      <c r="J184" s="69">
        <f>LOOKUP(I184,'Pattern lookup'!$A$4:$A$21,'Pattern lookup'!$F$4:$F$21)</f>
        <v>15</v>
      </c>
      <c r="K184" s="54">
        <v>5</v>
      </c>
      <c r="L184" s="13">
        <f ca="1">LOOKUP(I184,'Pattern lookup'!$A$4:$A$29,'Pattern lookup'!$C$4:$C$17)</f>
        <v>12</v>
      </c>
      <c r="M184" s="9">
        <f ca="1">LOOKUP(I184,'Pattern lookup'!$A$4:$A$29,'Pattern lookup'!$D$4:$D$17)</f>
        <v>34.5</v>
      </c>
      <c r="N184" s="9">
        <f ca="1">LOOKUP(I184,'Pattern lookup'!$A$4:$A$29,'Pattern lookup'!$E$4:$E$17)</f>
        <v>0.7</v>
      </c>
      <c r="O184" s="42">
        <f t="shared" si="21"/>
        <v>1</v>
      </c>
      <c r="P184" s="52">
        <f t="shared" ca="1" si="22"/>
        <v>50</v>
      </c>
      <c r="Q184" s="55" t="s">
        <v>447</v>
      </c>
      <c r="R184">
        <f t="shared" ca="1" si="23"/>
        <v>15.5</v>
      </c>
      <c r="S184" s="54"/>
      <c r="T184" s="42">
        <f t="shared" ca="1" si="24"/>
        <v>15.5</v>
      </c>
      <c r="U184">
        <f t="shared" ca="1" si="25"/>
        <v>34.5</v>
      </c>
      <c r="V184" s="8"/>
      <c r="W184" s="90"/>
      <c r="X184" s="54">
        <v>1</v>
      </c>
      <c r="Y184">
        <f t="shared" ca="1" si="26"/>
        <v>0</v>
      </c>
      <c r="Z184" s="117"/>
      <c r="AA184" s="117">
        <f t="shared" ca="1" si="27"/>
        <v>34.5</v>
      </c>
      <c r="AB184" s="117">
        <f>LOOKUP(I184,'Pattern lookup'!$A$4:$A$21,'Pattern lookup'!$H$4:$H$21)*X184</f>
        <v>24</v>
      </c>
    </row>
    <row r="185" spans="1:28" ht="15" customHeight="1" x14ac:dyDescent="0.2">
      <c r="A185" s="91">
        <v>1</v>
      </c>
      <c r="B185" s="47" t="s">
        <v>254</v>
      </c>
      <c r="C185" s="47" t="s">
        <v>258</v>
      </c>
      <c r="D185" s="8" t="s">
        <v>216</v>
      </c>
      <c r="E185" s="8" t="s">
        <v>202</v>
      </c>
      <c r="F185" s="114" t="s">
        <v>108</v>
      </c>
      <c r="G185" s="8" t="s">
        <v>100</v>
      </c>
      <c r="H185" s="8" t="s">
        <v>88</v>
      </c>
      <c r="I185" s="14" t="s">
        <v>295</v>
      </c>
      <c r="J185" s="69">
        <f>LOOKUP(I185,'Pattern lookup'!$A$4:$A$21,'Pattern lookup'!$F$4:$F$21)</f>
        <v>0</v>
      </c>
      <c r="K185" s="54">
        <v>2</v>
      </c>
      <c r="L185" s="13">
        <f ca="1">LOOKUP(I185,'Pattern lookup'!$A$4:$A$29,'Pattern lookup'!$C$4:$C$17)</f>
        <v>0</v>
      </c>
      <c r="M185" s="9">
        <f ca="1">LOOKUP(I185,'Pattern lookup'!$A$4:$A$29,'Pattern lookup'!$D$4:$D$17)</f>
        <v>0</v>
      </c>
      <c r="N185" s="9">
        <f ca="1">LOOKUP(I185,'Pattern lookup'!$A$4:$A$29,'Pattern lookup'!$E$4:$E$17)</f>
        <v>2.1</v>
      </c>
      <c r="O185" s="42">
        <f t="shared" si="21"/>
        <v>0</v>
      </c>
      <c r="P185" s="52">
        <f t="shared" ca="1" si="22"/>
        <v>4.2</v>
      </c>
      <c r="Q185" s="55" t="s">
        <v>447</v>
      </c>
      <c r="R185">
        <f t="shared" ca="1" si="23"/>
        <v>4.2</v>
      </c>
      <c r="S185" s="54"/>
      <c r="T185" s="42">
        <f t="shared" ca="1" si="24"/>
        <v>4.2</v>
      </c>
      <c r="U185">
        <f t="shared" ca="1" si="25"/>
        <v>0</v>
      </c>
      <c r="V185" s="92"/>
      <c r="W185" s="90"/>
      <c r="X185" s="54"/>
      <c r="Y185">
        <f t="shared" ca="1" si="26"/>
        <v>0</v>
      </c>
      <c r="Z185" s="117"/>
      <c r="AA185" s="117">
        <f t="shared" ca="1" si="27"/>
        <v>0</v>
      </c>
      <c r="AB185" s="117">
        <f>LOOKUP(I185,'Pattern lookup'!$A$4:$A$21,'Pattern lookup'!$H$4:$H$21)*X185</f>
        <v>0</v>
      </c>
    </row>
    <row r="186" spans="1:28" ht="15" customHeight="1" x14ac:dyDescent="0.2">
      <c r="A186" s="91">
        <v>1</v>
      </c>
      <c r="B186" s="47" t="s">
        <v>254</v>
      </c>
      <c r="C186" s="47" t="s">
        <v>258</v>
      </c>
      <c r="D186" s="8" t="s">
        <v>232</v>
      </c>
      <c r="E186" s="8" t="s">
        <v>235</v>
      </c>
      <c r="F186" s="114" t="s">
        <v>108</v>
      </c>
      <c r="G186" s="8" t="s">
        <v>100</v>
      </c>
      <c r="H186" s="8" t="s">
        <v>87</v>
      </c>
      <c r="I186" s="14" t="s">
        <v>268</v>
      </c>
      <c r="J186" s="69">
        <f>LOOKUP(I186,'Pattern lookup'!$A$4:$A$21,'Pattern lookup'!$F$4:$F$21)</f>
        <v>20</v>
      </c>
      <c r="K186" s="54">
        <v>15</v>
      </c>
      <c r="L186" s="13">
        <f ca="1">LOOKUP(I186,'Pattern lookup'!$A$4:$A$29,'Pattern lookup'!$C$4:$C$17)</f>
        <v>110</v>
      </c>
      <c r="M186" s="9">
        <f ca="1">LOOKUP(I186,'Pattern lookup'!$A$4:$A$29,'Pattern lookup'!$D$4:$D$17)</f>
        <v>66</v>
      </c>
      <c r="N186" s="9">
        <f ca="1">LOOKUP(I186,'Pattern lookup'!$A$4:$A$29,'Pattern lookup'!$E$4:$E$17)</f>
        <v>0.7</v>
      </c>
      <c r="O186" s="42">
        <f t="shared" si="21"/>
        <v>1</v>
      </c>
      <c r="P186" s="52">
        <f t="shared" ca="1" si="22"/>
        <v>186.5</v>
      </c>
      <c r="Q186" s="56" t="s">
        <v>457</v>
      </c>
      <c r="R186">
        <f t="shared" ca="1" si="23"/>
        <v>120.5</v>
      </c>
      <c r="S186" s="54">
        <v>1</v>
      </c>
      <c r="T186" s="42">
        <f t="shared" ca="1" si="24"/>
        <v>186.5</v>
      </c>
      <c r="U186">
        <f t="shared" ca="1" si="25"/>
        <v>0</v>
      </c>
      <c r="V186" s="8"/>
      <c r="W186" s="90"/>
      <c r="X186" s="54"/>
      <c r="Y186">
        <f t="shared" ca="1" si="26"/>
        <v>0</v>
      </c>
      <c r="Z186" s="117"/>
      <c r="AA186" s="117">
        <f t="shared" ca="1" si="27"/>
        <v>0</v>
      </c>
      <c r="AB186" s="117">
        <f>LOOKUP(I186,'Pattern lookup'!$A$4:$A$21,'Pattern lookup'!$H$4:$H$21)*X186</f>
        <v>0</v>
      </c>
    </row>
    <row r="187" spans="1:28" ht="15" customHeight="1" x14ac:dyDescent="0.2">
      <c r="A187" s="91">
        <v>1</v>
      </c>
      <c r="B187" s="47" t="s">
        <v>254</v>
      </c>
      <c r="C187" s="47" t="s">
        <v>258</v>
      </c>
      <c r="D187" s="8" t="s">
        <v>224</v>
      </c>
      <c r="E187" s="8" t="s">
        <v>206</v>
      </c>
      <c r="F187" s="114" t="s">
        <v>108</v>
      </c>
      <c r="G187" s="8" t="s">
        <v>100</v>
      </c>
      <c r="H187" s="8" t="s">
        <v>87</v>
      </c>
      <c r="I187" s="14" t="s">
        <v>59</v>
      </c>
      <c r="J187" s="69">
        <f>LOOKUP(I187,'Pattern lookup'!$A$4:$A$21,'Pattern lookup'!$F$4:$F$21)</f>
        <v>15</v>
      </c>
      <c r="K187" s="54">
        <v>5</v>
      </c>
      <c r="L187" s="13">
        <f ca="1">LOOKUP(I187,'Pattern lookup'!$A$4:$A$29,'Pattern lookup'!$C$4:$C$17)</f>
        <v>12</v>
      </c>
      <c r="M187" s="9">
        <f ca="1">LOOKUP(I187,'Pattern lookup'!$A$4:$A$29,'Pattern lookup'!$D$4:$D$17)</f>
        <v>34.5</v>
      </c>
      <c r="N187" s="9">
        <f ca="1">LOOKUP(I187,'Pattern lookup'!$A$4:$A$29,'Pattern lookup'!$E$4:$E$17)</f>
        <v>0.7</v>
      </c>
      <c r="O187" s="42">
        <f t="shared" si="21"/>
        <v>1</v>
      </c>
      <c r="P187" s="52">
        <f t="shared" ca="1" si="22"/>
        <v>50</v>
      </c>
      <c r="Q187" s="56" t="s">
        <v>454</v>
      </c>
      <c r="R187">
        <f t="shared" ca="1" si="23"/>
        <v>15.5</v>
      </c>
      <c r="S187" s="54">
        <v>1</v>
      </c>
      <c r="T187" s="42">
        <f t="shared" ca="1" si="24"/>
        <v>50</v>
      </c>
      <c r="U187">
        <f t="shared" ca="1" si="25"/>
        <v>0</v>
      </c>
      <c r="V187" s="8"/>
      <c r="W187" s="90"/>
      <c r="X187" s="54"/>
      <c r="Y187">
        <f t="shared" ca="1" si="26"/>
        <v>0</v>
      </c>
      <c r="Z187" s="117"/>
      <c r="AA187" s="117">
        <f t="shared" ca="1" si="27"/>
        <v>0</v>
      </c>
      <c r="AB187" s="117">
        <f>LOOKUP(I187,'Pattern lookup'!$A$4:$A$21,'Pattern lookup'!$H$4:$H$21)*X187</f>
        <v>0</v>
      </c>
    </row>
    <row r="188" spans="1:28" ht="15" customHeight="1" x14ac:dyDescent="0.2">
      <c r="A188" s="91">
        <v>1</v>
      </c>
      <c r="B188" s="47" t="s">
        <v>254</v>
      </c>
      <c r="C188" s="47" t="s">
        <v>258</v>
      </c>
      <c r="D188" s="8" t="s">
        <v>223</v>
      </c>
      <c r="E188" s="8" t="s">
        <v>205</v>
      </c>
      <c r="F188" s="114" t="s">
        <v>108</v>
      </c>
      <c r="G188" s="8" t="s">
        <v>100</v>
      </c>
      <c r="H188" s="8" t="s">
        <v>87</v>
      </c>
      <c r="I188" s="14" t="s">
        <v>59</v>
      </c>
      <c r="J188" s="69">
        <f>LOOKUP(I188,'Pattern lookup'!$A$4:$A$21,'Pattern lookup'!$F$4:$F$21)</f>
        <v>15</v>
      </c>
      <c r="K188" s="54">
        <v>5</v>
      </c>
      <c r="L188" s="13">
        <f ca="1">LOOKUP(I188,'Pattern lookup'!$A$4:$A$29,'Pattern lookup'!$C$4:$C$17)</f>
        <v>12</v>
      </c>
      <c r="M188" s="9">
        <f ca="1">LOOKUP(I188,'Pattern lookup'!$A$4:$A$29,'Pattern lookup'!$D$4:$D$17)</f>
        <v>34.5</v>
      </c>
      <c r="N188" s="9">
        <f ca="1">LOOKUP(I188,'Pattern lookup'!$A$4:$A$29,'Pattern lookup'!$E$4:$E$17)</f>
        <v>0.7</v>
      </c>
      <c r="O188" s="42">
        <f t="shared" si="21"/>
        <v>1</v>
      </c>
      <c r="P188" s="52">
        <f t="shared" ca="1" si="22"/>
        <v>50</v>
      </c>
      <c r="Q188" s="56" t="s">
        <v>458</v>
      </c>
      <c r="R188">
        <f t="shared" ca="1" si="23"/>
        <v>15.5</v>
      </c>
      <c r="S188" s="54">
        <v>1</v>
      </c>
      <c r="T188" s="42">
        <f t="shared" ca="1" si="24"/>
        <v>50</v>
      </c>
      <c r="U188">
        <f t="shared" ca="1" si="25"/>
        <v>0</v>
      </c>
      <c r="V188" s="8"/>
      <c r="W188" s="90"/>
      <c r="X188" s="54"/>
      <c r="Y188">
        <f t="shared" ca="1" si="26"/>
        <v>0</v>
      </c>
      <c r="Z188" s="117" t="s">
        <v>390</v>
      </c>
      <c r="AA188" s="117">
        <f t="shared" ca="1" si="27"/>
        <v>0</v>
      </c>
      <c r="AB188" s="117">
        <f>LOOKUP(I188,'Pattern lookup'!$A$4:$A$21,'Pattern lookup'!$H$4:$H$21)*X188</f>
        <v>0</v>
      </c>
    </row>
    <row r="189" spans="1:28" ht="15" customHeight="1" x14ac:dyDescent="0.2">
      <c r="A189" s="91">
        <v>1</v>
      </c>
      <c r="B189" s="47" t="s">
        <v>254</v>
      </c>
      <c r="C189" s="47" t="s">
        <v>259</v>
      </c>
      <c r="D189" s="8" t="s">
        <v>229</v>
      </c>
      <c r="E189" s="8" t="s">
        <v>243</v>
      </c>
      <c r="F189" s="114" t="s">
        <v>108</v>
      </c>
      <c r="G189" s="8" t="s">
        <v>100</v>
      </c>
      <c r="H189" s="8" t="s">
        <v>87</v>
      </c>
      <c r="I189" s="14" t="s">
        <v>279</v>
      </c>
      <c r="J189" s="69">
        <f>LOOKUP(I189,'Pattern lookup'!$A$4:$A$21,'Pattern lookup'!$F$4:$F$21)</f>
        <v>1</v>
      </c>
      <c r="K189" s="54">
        <v>2</v>
      </c>
      <c r="L189" s="13">
        <f ca="1">LOOKUP(I189,'Pattern lookup'!$A$4:$A$29,'Pattern lookup'!$C$4:$C$17)</f>
        <v>15</v>
      </c>
      <c r="M189" s="9">
        <f ca="1">LOOKUP(I189,'Pattern lookup'!$A$4:$A$29,'Pattern lookup'!$D$4:$D$17)</f>
        <v>15</v>
      </c>
      <c r="N189" s="9">
        <f ca="1">LOOKUP(I189,'Pattern lookup'!$A$4:$A$29,'Pattern lookup'!$E$4:$E$17)</f>
        <v>0.35</v>
      </c>
      <c r="O189" s="42">
        <f t="shared" si="21"/>
        <v>2</v>
      </c>
      <c r="P189" s="52">
        <f t="shared" ca="1" si="22"/>
        <v>45.7</v>
      </c>
      <c r="Q189" s="56" t="s">
        <v>448</v>
      </c>
      <c r="R189">
        <f t="shared" ca="1" si="23"/>
        <v>15.7</v>
      </c>
      <c r="S189" s="54">
        <v>2</v>
      </c>
      <c r="T189" s="42">
        <f t="shared" ca="1" si="24"/>
        <v>45.7</v>
      </c>
      <c r="U189">
        <f t="shared" ca="1" si="25"/>
        <v>0</v>
      </c>
      <c r="V189" s="8"/>
      <c r="W189" s="90"/>
      <c r="X189" s="130"/>
      <c r="Y189">
        <f t="shared" ca="1" si="26"/>
        <v>0</v>
      </c>
      <c r="Z189" s="117"/>
      <c r="AA189" s="117">
        <f t="shared" ca="1" si="27"/>
        <v>0</v>
      </c>
      <c r="AB189" s="117">
        <f>LOOKUP(I189,'Pattern lookup'!$A$4:$A$21,'Pattern lookup'!$H$4:$H$21)*X189</f>
        <v>0</v>
      </c>
    </row>
    <row r="190" spans="1:28" ht="15" customHeight="1" x14ac:dyDescent="0.2">
      <c r="A190" s="91">
        <v>1</v>
      </c>
      <c r="B190" s="47" t="s">
        <v>254</v>
      </c>
      <c r="C190" s="47" t="s">
        <v>259</v>
      </c>
      <c r="D190" s="8" t="s">
        <v>229</v>
      </c>
      <c r="E190" s="8" t="s">
        <v>243</v>
      </c>
      <c r="F190" s="93" t="s">
        <v>99</v>
      </c>
      <c r="G190" s="8" t="s">
        <v>100</v>
      </c>
      <c r="H190" s="8" t="s">
        <v>87</v>
      </c>
      <c r="I190" s="14" t="s">
        <v>279</v>
      </c>
      <c r="J190" s="69">
        <f>LOOKUP(I190,'Pattern lookup'!$A$4:$A$21,'Pattern lookup'!$F$4:$F$21)</f>
        <v>1</v>
      </c>
      <c r="K190" s="54">
        <v>2</v>
      </c>
      <c r="L190" s="13">
        <f ca="1">LOOKUP(I190,'Pattern lookup'!$A$4:$A$29,'Pattern lookup'!$C$4:$C$17)</f>
        <v>15</v>
      </c>
      <c r="M190" s="9">
        <f ca="1">LOOKUP(I190,'Pattern lookup'!$A$4:$A$29,'Pattern lookup'!$D$4:$D$17)</f>
        <v>15</v>
      </c>
      <c r="N190" s="9">
        <f ca="1">LOOKUP(I190,'Pattern lookup'!$A$4:$A$29,'Pattern lookup'!$E$4:$E$17)</f>
        <v>0.35</v>
      </c>
      <c r="O190" s="42">
        <f t="shared" si="21"/>
        <v>2</v>
      </c>
      <c r="P190" s="52">
        <f t="shared" ca="1" si="22"/>
        <v>45.7</v>
      </c>
      <c r="Q190" s="56" t="s">
        <v>453</v>
      </c>
      <c r="R190">
        <f t="shared" ca="1" si="23"/>
        <v>15.7</v>
      </c>
      <c r="S190" s="54">
        <v>2</v>
      </c>
      <c r="T190" s="42">
        <f t="shared" ca="1" si="24"/>
        <v>45.7</v>
      </c>
      <c r="U190">
        <f t="shared" ca="1" si="25"/>
        <v>0</v>
      </c>
      <c r="V190" s="8"/>
      <c r="W190" s="90"/>
      <c r="X190" s="130"/>
      <c r="Y190">
        <f t="shared" ca="1" si="26"/>
        <v>0</v>
      </c>
      <c r="Z190" s="117"/>
      <c r="AA190" s="117">
        <f t="shared" ca="1" si="27"/>
        <v>0</v>
      </c>
      <c r="AB190" s="117">
        <f>LOOKUP(I190,'Pattern lookup'!$A$4:$A$21,'Pattern lookup'!$H$4:$H$21)*X190</f>
        <v>0</v>
      </c>
    </row>
    <row r="191" spans="1:28" ht="15" customHeight="1" x14ac:dyDescent="0.2">
      <c r="A191" s="91">
        <v>1</v>
      </c>
      <c r="B191" s="47" t="s">
        <v>254</v>
      </c>
      <c r="C191" s="47" t="s">
        <v>259</v>
      </c>
      <c r="D191" s="8" t="s">
        <v>244</v>
      </c>
      <c r="E191" s="8" t="s">
        <v>245</v>
      </c>
      <c r="F191" s="114" t="s">
        <v>108</v>
      </c>
      <c r="G191" s="8" t="s">
        <v>100</v>
      </c>
      <c r="H191" s="8" t="s">
        <v>87</v>
      </c>
      <c r="I191" s="14" t="s">
        <v>314</v>
      </c>
      <c r="J191" s="69">
        <f>LOOKUP(I191,'Pattern lookup'!$A$4:$A$21,'Pattern lookup'!$F$4:$F$21)</f>
        <v>15</v>
      </c>
      <c r="K191" s="54">
        <v>300</v>
      </c>
      <c r="L191" s="13">
        <f ca="1">LOOKUP(I191,'Pattern lookup'!$A$4:$A$29,'Pattern lookup'!$C$4:$C$17)</f>
        <v>53</v>
      </c>
      <c r="M191" s="9">
        <f ca="1">LOOKUP(I191,'Pattern lookup'!$A$4:$A$29,'Pattern lookup'!$D$4:$D$17)</f>
        <v>36</v>
      </c>
      <c r="N191" s="9">
        <f ca="1">LOOKUP(I191,'Pattern lookup'!$A$4:$A$29,'Pattern lookup'!$E$4:$E$17)</f>
        <v>0.2</v>
      </c>
      <c r="O191" s="42">
        <f t="shared" si="21"/>
        <v>20</v>
      </c>
      <c r="P191" s="52">
        <f t="shared" ca="1" si="22"/>
        <v>833</v>
      </c>
      <c r="Q191" s="56" t="s">
        <v>452</v>
      </c>
      <c r="R191">
        <f t="shared" ca="1" si="23"/>
        <v>113</v>
      </c>
      <c r="S191" s="54"/>
      <c r="T191" s="42">
        <f t="shared" ca="1" si="24"/>
        <v>113</v>
      </c>
      <c r="U191">
        <f t="shared" ca="1" si="25"/>
        <v>720</v>
      </c>
      <c r="V191" s="8"/>
      <c r="W191" s="90"/>
      <c r="X191" s="54">
        <v>20</v>
      </c>
      <c r="Y191">
        <f t="shared" ca="1" si="26"/>
        <v>0</v>
      </c>
      <c r="Z191" s="117"/>
      <c r="AA191" s="117">
        <f t="shared" ca="1" si="27"/>
        <v>720</v>
      </c>
      <c r="AB191" s="117">
        <f>LOOKUP(I191,'Pattern lookup'!$A$4:$A$21,'Pattern lookup'!$H$4:$H$21)*X191</f>
        <v>480</v>
      </c>
    </row>
    <row r="192" spans="1:28" ht="15" customHeight="1" x14ac:dyDescent="0.2">
      <c r="A192" s="91">
        <v>1</v>
      </c>
      <c r="B192" s="47" t="s">
        <v>254</v>
      </c>
      <c r="C192" s="47" t="s">
        <v>259</v>
      </c>
      <c r="D192" s="8" t="s">
        <v>244</v>
      </c>
      <c r="E192" s="8" t="s">
        <v>245</v>
      </c>
      <c r="F192" s="114" t="s">
        <v>108</v>
      </c>
      <c r="G192" s="8" t="s">
        <v>100</v>
      </c>
      <c r="H192" s="8" t="s">
        <v>88</v>
      </c>
      <c r="I192" s="14" t="s">
        <v>48</v>
      </c>
      <c r="J192" s="69">
        <f>LOOKUP(I192,'Pattern lookup'!$A$4:$A$21,'Pattern lookup'!$F$4:$F$21)</f>
        <v>15</v>
      </c>
      <c r="K192" s="54">
        <v>30</v>
      </c>
      <c r="L192" s="13">
        <f ca="1">LOOKUP(I192,'Pattern lookup'!$A$4:$A$29,'Pattern lookup'!$C$4:$C$17)</f>
        <v>2</v>
      </c>
      <c r="M192" s="9">
        <f ca="1">LOOKUP(I192,'Pattern lookup'!$A$4:$A$29,'Pattern lookup'!$D$4:$D$17)</f>
        <v>22.5</v>
      </c>
      <c r="N192" s="9">
        <f ca="1">LOOKUP(I192,'Pattern lookup'!$A$4:$A$29,'Pattern lookup'!$E$4:$E$17)</f>
        <v>0.6</v>
      </c>
      <c r="O192" s="42">
        <f t="shared" si="21"/>
        <v>2</v>
      </c>
      <c r="P192" s="52">
        <f t="shared" ca="1" si="22"/>
        <v>65</v>
      </c>
      <c r="Q192" s="56" t="s">
        <v>452</v>
      </c>
      <c r="R192">
        <f t="shared" ca="1" si="23"/>
        <v>20</v>
      </c>
      <c r="S192" s="54"/>
      <c r="T192" s="42">
        <f t="shared" ca="1" si="24"/>
        <v>20</v>
      </c>
      <c r="U192">
        <f t="shared" ca="1" si="25"/>
        <v>45</v>
      </c>
      <c r="V192" s="8"/>
      <c r="W192" s="90"/>
      <c r="X192" s="54">
        <v>2</v>
      </c>
      <c r="Y192">
        <f t="shared" ca="1" si="26"/>
        <v>0</v>
      </c>
      <c r="Z192" s="117"/>
      <c r="AA192" s="117">
        <f t="shared" ca="1" si="27"/>
        <v>45</v>
      </c>
      <c r="AB192" s="117">
        <f>LOOKUP(I192,'Pattern lookup'!$A$4:$A$21,'Pattern lookup'!$H$4:$H$21)*X192</f>
        <v>24</v>
      </c>
    </row>
    <row r="193" spans="1:28" ht="15" customHeight="1" x14ac:dyDescent="0.2">
      <c r="A193" s="91">
        <v>1</v>
      </c>
      <c r="B193" s="47" t="s">
        <v>255</v>
      </c>
      <c r="C193" s="47" t="s">
        <v>259</v>
      </c>
      <c r="D193" s="8" t="s">
        <v>244</v>
      </c>
      <c r="E193" s="8" t="s">
        <v>245</v>
      </c>
      <c r="F193" s="42" t="s">
        <v>445</v>
      </c>
      <c r="G193" s="8" t="s">
        <v>142</v>
      </c>
      <c r="H193" s="8" t="s">
        <v>87</v>
      </c>
      <c r="I193" s="14" t="s">
        <v>58</v>
      </c>
      <c r="J193" s="69">
        <f>LOOKUP(I193,'Pattern lookup'!$A$4:$A$21,'Pattern lookup'!$F$4:$F$21)</f>
        <v>0</v>
      </c>
      <c r="K193" s="54">
        <v>15</v>
      </c>
      <c r="L193" s="13">
        <f ca="1">LOOKUP(I193,'Pattern lookup'!$A$4:$A$29,'Pattern lookup'!$C$4:$C$17)</f>
        <v>35</v>
      </c>
      <c r="M193" s="9">
        <f ca="1">LOOKUP(I193,'Pattern lookup'!$A$4:$A$29,'Pattern lookup'!$D$4:$D$17)</f>
        <v>0</v>
      </c>
      <c r="N193" s="9">
        <f ca="1">LOOKUP(I193,'Pattern lookup'!$A$4:$A$29,'Pattern lookup'!$E$4:$E$17)</f>
        <v>0.6</v>
      </c>
      <c r="O193" s="42">
        <f t="shared" si="21"/>
        <v>0</v>
      </c>
      <c r="P193" s="52">
        <f t="shared" ca="1" si="22"/>
        <v>44</v>
      </c>
      <c r="Q193" s="56" t="s">
        <v>452</v>
      </c>
      <c r="R193">
        <f t="shared" ca="1" si="23"/>
        <v>44</v>
      </c>
      <c r="S193" s="54"/>
      <c r="T193" s="41">
        <f t="shared" ca="1" si="24"/>
        <v>44</v>
      </c>
      <c r="U193">
        <f t="shared" ca="1" si="25"/>
        <v>0</v>
      </c>
      <c r="V193" s="92"/>
      <c r="W193" s="90"/>
      <c r="X193" s="54"/>
      <c r="Y193">
        <f t="shared" ca="1" si="26"/>
        <v>0</v>
      </c>
      <c r="Z193" s="117"/>
      <c r="AA193" s="117">
        <f t="shared" ca="1" si="27"/>
        <v>0</v>
      </c>
      <c r="AB193" s="117">
        <f>LOOKUP(I193,'Pattern lookup'!$A$4:$A$21,'Pattern lookup'!$H$4:$H$21)*X193</f>
        <v>0</v>
      </c>
    </row>
    <row r="194" spans="1:28" ht="15" customHeight="1" x14ac:dyDescent="0.2">
      <c r="A194" s="91">
        <v>1</v>
      </c>
      <c r="B194" s="47" t="s">
        <v>255</v>
      </c>
      <c r="C194" s="47" t="s">
        <v>259</v>
      </c>
      <c r="D194" s="8" t="s">
        <v>244</v>
      </c>
      <c r="E194" s="8" t="s">
        <v>245</v>
      </c>
      <c r="F194" s="94" t="s">
        <v>469</v>
      </c>
      <c r="G194" s="8" t="s">
        <v>142</v>
      </c>
      <c r="H194" s="8" t="s">
        <v>87</v>
      </c>
      <c r="I194" s="14" t="s">
        <v>58</v>
      </c>
      <c r="J194" s="69">
        <f>LOOKUP(I194,'Pattern lookup'!$A$4:$A$21,'Pattern lookup'!$F$4:$F$21)</f>
        <v>0</v>
      </c>
      <c r="K194" s="54">
        <v>15</v>
      </c>
      <c r="L194" s="13">
        <f ca="1">LOOKUP(I194,'Pattern lookup'!$A$4:$A$29,'Pattern lookup'!$C$4:$C$17)</f>
        <v>35</v>
      </c>
      <c r="M194" s="9">
        <f ca="1">LOOKUP(I194,'Pattern lookup'!$A$4:$A$29,'Pattern lookup'!$D$4:$D$17)</f>
        <v>0</v>
      </c>
      <c r="N194" s="9">
        <f ca="1">LOOKUP(I194,'Pattern lookup'!$A$4:$A$29,'Pattern lookup'!$E$4:$E$17)</f>
        <v>0.6</v>
      </c>
      <c r="O194" s="42">
        <f t="shared" si="21"/>
        <v>0</v>
      </c>
      <c r="P194" s="52">
        <f t="shared" ca="1" si="22"/>
        <v>44</v>
      </c>
      <c r="Q194" s="56" t="s">
        <v>452</v>
      </c>
      <c r="R194">
        <f t="shared" ca="1" si="23"/>
        <v>44</v>
      </c>
      <c r="S194" s="54"/>
      <c r="T194" s="42">
        <f t="shared" ca="1" si="24"/>
        <v>44</v>
      </c>
      <c r="U194">
        <f t="shared" ca="1" si="25"/>
        <v>0</v>
      </c>
      <c r="V194" s="8"/>
      <c r="W194" s="90"/>
      <c r="X194" s="54"/>
      <c r="Y194">
        <f t="shared" ca="1" si="26"/>
        <v>0</v>
      </c>
      <c r="Z194" s="117"/>
      <c r="AA194" s="117">
        <f t="shared" ca="1" si="27"/>
        <v>0</v>
      </c>
      <c r="AB194" s="117">
        <f>LOOKUP(I194,'Pattern lookup'!$A$4:$A$21,'Pattern lookup'!$H$4:$H$21)*X194</f>
        <v>0</v>
      </c>
    </row>
    <row r="195" spans="1:28" ht="15" customHeight="1" x14ac:dyDescent="0.2">
      <c r="A195" s="91">
        <v>1</v>
      </c>
      <c r="B195" s="47" t="s">
        <v>255</v>
      </c>
      <c r="C195" s="47" t="s">
        <v>259</v>
      </c>
      <c r="D195" s="8" t="s">
        <v>244</v>
      </c>
      <c r="E195" s="8" t="s">
        <v>245</v>
      </c>
      <c r="F195" s="95" t="s">
        <v>470</v>
      </c>
      <c r="G195" s="8" t="s">
        <v>142</v>
      </c>
      <c r="H195" s="8" t="s">
        <v>87</v>
      </c>
      <c r="I195" s="14" t="s">
        <v>58</v>
      </c>
      <c r="J195" s="69">
        <f>LOOKUP(I195,'Pattern lookup'!$A$4:$A$21,'Pattern lookup'!$F$4:$F$21)</f>
        <v>0</v>
      </c>
      <c r="K195" s="54">
        <v>15</v>
      </c>
      <c r="L195" s="13">
        <f ca="1">LOOKUP(I195,'Pattern lookup'!$A$4:$A$29,'Pattern lookup'!$C$4:$C$17)</f>
        <v>35</v>
      </c>
      <c r="M195" s="9">
        <f ca="1">LOOKUP(I195,'Pattern lookup'!$A$4:$A$29,'Pattern lookup'!$D$4:$D$17)</f>
        <v>0</v>
      </c>
      <c r="N195" s="9">
        <f ca="1">LOOKUP(I195,'Pattern lookup'!$A$4:$A$29,'Pattern lookup'!$E$4:$E$17)</f>
        <v>0.6</v>
      </c>
      <c r="O195" s="42">
        <f t="shared" si="21"/>
        <v>0</v>
      </c>
      <c r="P195" s="52">
        <f t="shared" ca="1" si="22"/>
        <v>44</v>
      </c>
      <c r="Q195" s="56" t="s">
        <v>452</v>
      </c>
      <c r="R195">
        <f t="shared" ca="1" si="23"/>
        <v>44</v>
      </c>
      <c r="S195" s="54"/>
      <c r="T195" s="42">
        <f t="shared" ca="1" si="24"/>
        <v>44</v>
      </c>
      <c r="U195">
        <f t="shared" ca="1" si="25"/>
        <v>0</v>
      </c>
      <c r="V195" s="8"/>
      <c r="W195" s="90"/>
      <c r="X195" s="54"/>
      <c r="Y195">
        <f t="shared" ca="1" si="26"/>
        <v>0</v>
      </c>
      <c r="Z195" s="117"/>
      <c r="AA195" s="117">
        <f t="shared" ca="1" si="27"/>
        <v>0</v>
      </c>
      <c r="AB195" s="117">
        <f>LOOKUP(I195,'Pattern lookup'!$A$4:$A$21,'Pattern lookup'!$H$4:$H$21)*X195</f>
        <v>0</v>
      </c>
    </row>
    <row r="196" spans="1:28" ht="15" customHeight="1" x14ac:dyDescent="0.2">
      <c r="A196" s="91">
        <v>1</v>
      </c>
      <c r="B196" s="47" t="s">
        <v>255</v>
      </c>
      <c r="C196" s="47" t="s">
        <v>259</v>
      </c>
      <c r="D196" s="8" t="s">
        <v>244</v>
      </c>
      <c r="E196" s="8" t="s">
        <v>245</v>
      </c>
      <c r="F196" s="99" t="s">
        <v>467</v>
      </c>
      <c r="G196" s="8" t="s">
        <v>101</v>
      </c>
      <c r="H196" s="8" t="s">
        <v>87</v>
      </c>
      <c r="I196" s="14" t="s">
        <v>426</v>
      </c>
      <c r="J196" s="69">
        <f>LOOKUP(I196,'Pattern lookup'!$A$4:$A$21,'Pattern lookup'!$F$4:$F$21)</f>
        <v>0</v>
      </c>
      <c r="K196" s="54">
        <v>20</v>
      </c>
      <c r="L196" s="13">
        <f ca="1">LOOKUP(I196,'Pattern lookup'!$A$4:$A$29,'Pattern lookup'!$C$4:$C$17)</f>
        <v>37</v>
      </c>
      <c r="M196" s="9">
        <f ca="1">LOOKUP(I196,'Pattern lookup'!$A$4:$A$29,'Pattern lookup'!$D$4:$D$17)</f>
        <v>0</v>
      </c>
      <c r="N196" s="9">
        <f ca="1">LOOKUP(I196,'Pattern lookup'!$A$4:$A$29,'Pattern lookup'!$E$4:$E$17)</f>
        <v>0.35</v>
      </c>
      <c r="O196" s="42">
        <f t="shared" si="21"/>
        <v>0</v>
      </c>
      <c r="P196" s="52">
        <f t="shared" ca="1" si="22"/>
        <v>44</v>
      </c>
      <c r="Q196" s="56" t="s">
        <v>452</v>
      </c>
      <c r="R196">
        <f t="shared" ca="1" si="23"/>
        <v>44</v>
      </c>
      <c r="S196" s="54"/>
      <c r="T196" s="42">
        <f t="shared" ca="1" si="24"/>
        <v>44</v>
      </c>
      <c r="U196">
        <f t="shared" ca="1" si="25"/>
        <v>0</v>
      </c>
      <c r="V196" s="8"/>
      <c r="W196" s="90"/>
      <c r="X196" s="54"/>
      <c r="Y196">
        <f t="shared" ca="1" si="26"/>
        <v>0</v>
      </c>
      <c r="Z196" s="117"/>
      <c r="AA196" s="117">
        <f t="shared" ca="1" si="27"/>
        <v>0</v>
      </c>
      <c r="AB196" s="117">
        <f>LOOKUP(I196,'Pattern lookup'!$A$4:$A$21,'Pattern lookup'!$H$4:$H$21)*X196</f>
        <v>0</v>
      </c>
    </row>
    <row r="197" spans="1:28" ht="15" customHeight="1" x14ac:dyDescent="0.2">
      <c r="A197" s="91">
        <v>1</v>
      </c>
      <c r="B197" s="47" t="s">
        <v>255</v>
      </c>
      <c r="C197" s="47" t="s">
        <v>259</v>
      </c>
      <c r="D197" s="8" t="s">
        <v>244</v>
      </c>
      <c r="E197" s="8" t="s">
        <v>245</v>
      </c>
      <c r="F197" s="100" t="s">
        <v>466</v>
      </c>
      <c r="G197" s="8" t="s">
        <v>101</v>
      </c>
      <c r="H197" s="8" t="s">
        <v>87</v>
      </c>
      <c r="I197" s="14" t="s">
        <v>426</v>
      </c>
      <c r="J197" s="69">
        <f>LOOKUP(I197,'Pattern lookup'!$A$4:$A$21,'Pattern lookup'!$F$4:$F$21)</f>
        <v>0</v>
      </c>
      <c r="K197" s="54">
        <v>20</v>
      </c>
      <c r="L197" s="13">
        <f ca="1">LOOKUP(I197,'Pattern lookup'!$A$4:$A$29,'Pattern lookup'!$C$4:$C$17)</f>
        <v>37</v>
      </c>
      <c r="M197" s="9">
        <f ca="1">LOOKUP(I197,'Pattern lookup'!$A$4:$A$29,'Pattern lookup'!$D$4:$D$17)</f>
        <v>0</v>
      </c>
      <c r="N197" s="9">
        <f ca="1">LOOKUP(I197,'Pattern lookup'!$A$4:$A$29,'Pattern lookup'!$E$4:$E$17)</f>
        <v>0.35</v>
      </c>
      <c r="O197" s="42">
        <f t="shared" si="21"/>
        <v>0</v>
      </c>
      <c r="P197" s="52">
        <f t="shared" ca="1" si="22"/>
        <v>44</v>
      </c>
      <c r="Q197" s="56" t="s">
        <v>452</v>
      </c>
      <c r="R197">
        <f t="shared" ca="1" si="23"/>
        <v>44</v>
      </c>
      <c r="S197" s="54"/>
      <c r="T197" s="42">
        <f t="shared" ca="1" si="24"/>
        <v>44</v>
      </c>
      <c r="U197">
        <f t="shared" ca="1" si="25"/>
        <v>0</v>
      </c>
      <c r="V197" s="8"/>
      <c r="W197" s="90"/>
      <c r="X197" s="54"/>
      <c r="Y197">
        <f t="shared" ca="1" si="26"/>
        <v>0</v>
      </c>
      <c r="Z197" s="117"/>
      <c r="AA197" s="117">
        <f t="shared" ca="1" si="27"/>
        <v>0</v>
      </c>
      <c r="AB197" s="117">
        <f>LOOKUP(I197,'Pattern lookup'!$A$4:$A$21,'Pattern lookup'!$H$4:$H$21)*X197</f>
        <v>0</v>
      </c>
    </row>
    <row r="198" spans="1:28" ht="15" customHeight="1" x14ac:dyDescent="0.2">
      <c r="A198" s="91">
        <v>1</v>
      </c>
      <c r="B198" s="47" t="s">
        <v>255</v>
      </c>
      <c r="C198" s="47" t="s">
        <v>259</v>
      </c>
      <c r="D198" s="8" t="s">
        <v>362</v>
      </c>
      <c r="E198" s="8" t="s">
        <v>365</v>
      </c>
      <c r="F198" s="107" t="s">
        <v>363</v>
      </c>
      <c r="G198" s="8" t="s">
        <v>364</v>
      </c>
      <c r="H198" s="8" t="s">
        <v>88</v>
      </c>
      <c r="I198" s="14" t="s">
        <v>55</v>
      </c>
      <c r="J198" s="69">
        <f>LOOKUP(I198,'Pattern lookup'!$A$4:$A$21,'Pattern lookup'!$F$4:$F$21)</f>
        <v>15</v>
      </c>
      <c r="K198" s="54">
        <v>60</v>
      </c>
      <c r="L198" s="13">
        <f ca="1">LOOKUP(I198,'Pattern lookup'!$A$4:$A$29,'Pattern lookup'!$C$4:$C$17)</f>
        <v>28</v>
      </c>
      <c r="M198" s="9">
        <f ca="1">LOOKUP(I198,'Pattern lookup'!$A$4:$A$29,'Pattern lookup'!$D$4:$D$17)</f>
        <v>22.5</v>
      </c>
      <c r="N198" s="9">
        <f ca="1">LOOKUP(I198,'Pattern lookup'!$A$4:$A$29,'Pattern lookup'!$E$4:$E$17)</f>
        <v>0.6</v>
      </c>
      <c r="O198" s="42">
        <f t="shared" si="21"/>
        <v>4</v>
      </c>
      <c r="P198" s="52">
        <f t="shared" ca="1" si="22"/>
        <v>154</v>
      </c>
      <c r="Q198" s="56" t="s">
        <v>447</v>
      </c>
      <c r="R198">
        <f t="shared" ca="1" si="23"/>
        <v>64</v>
      </c>
      <c r="S198" s="54"/>
      <c r="T198" s="42">
        <f t="shared" ca="1" si="24"/>
        <v>64</v>
      </c>
      <c r="U198">
        <f t="shared" ca="1" si="25"/>
        <v>90</v>
      </c>
      <c r="V198" s="8"/>
      <c r="W198" s="90"/>
      <c r="X198" s="54">
        <v>4</v>
      </c>
      <c r="Y198">
        <f t="shared" ca="1" si="26"/>
        <v>0</v>
      </c>
      <c r="Z198" s="117"/>
      <c r="AA198" s="117">
        <f t="shared" ca="1" si="27"/>
        <v>90</v>
      </c>
      <c r="AB198" s="117">
        <f>LOOKUP(I198,'Pattern lookup'!$A$4:$A$21,'Pattern lookup'!$H$4:$H$21)*X198</f>
        <v>48</v>
      </c>
    </row>
    <row r="199" spans="1:28" ht="15" customHeight="1" x14ac:dyDescent="0.2">
      <c r="A199" s="91">
        <v>1</v>
      </c>
      <c r="B199" s="47" t="s">
        <v>255</v>
      </c>
      <c r="C199" s="47" t="s">
        <v>259</v>
      </c>
      <c r="D199" s="8" t="s">
        <v>362</v>
      </c>
      <c r="E199" s="8" t="s">
        <v>365</v>
      </c>
      <c r="F199" s="107" t="s">
        <v>366</v>
      </c>
      <c r="G199" s="8" t="s">
        <v>364</v>
      </c>
      <c r="H199" s="8" t="s">
        <v>88</v>
      </c>
      <c r="I199" s="14" t="s">
        <v>55</v>
      </c>
      <c r="J199" s="69">
        <f>LOOKUP(I199,'Pattern lookup'!$A$4:$A$21,'Pattern lookup'!$F$4:$F$21)</f>
        <v>15</v>
      </c>
      <c r="K199" s="54">
        <v>60</v>
      </c>
      <c r="L199" s="13">
        <f ca="1">LOOKUP(I199,'Pattern lookup'!$A$4:$A$29,'Pattern lookup'!$C$4:$C$17)</f>
        <v>28</v>
      </c>
      <c r="M199" s="9">
        <f ca="1">LOOKUP(I199,'Pattern lookup'!$A$4:$A$29,'Pattern lookup'!$D$4:$D$17)</f>
        <v>22.5</v>
      </c>
      <c r="N199" s="9">
        <f ca="1">LOOKUP(I199,'Pattern lookup'!$A$4:$A$29,'Pattern lookup'!$E$4:$E$17)</f>
        <v>0.6</v>
      </c>
      <c r="O199" s="42">
        <f t="shared" si="21"/>
        <v>4</v>
      </c>
      <c r="P199" s="52">
        <f t="shared" ca="1" si="22"/>
        <v>154</v>
      </c>
      <c r="Q199" s="56" t="s">
        <v>447</v>
      </c>
      <c r="R199">
        <f t="shared" ca="1" si="23"/>
        <v>64</v>
      </c>
      <c r="S199" s="54"/>
      <c r="T199" s="42">
        <f t="shared" ca="1" si="24"/>
        <v>64</v>
      </c>
      <c r="U199">
        <f t="shared" ca="1" si="25"/>
        <v>90</v>
      </c>
      <c r="V199" s="8"/>
      <c r="W199" s="90"/>
      <c r="X199" s="54">
        <v>4</v>
      </c>
      <c r="Y199">
        <f t="shared" ca="1" si="26"/>
        <v>0</v>
      </c>
      <c r="Z199" s="117"/>
      <c r="AA199" s="117">
        <f t="shared" ca="1" si="27"/>
        <v>90</v>
      </c>
      <c r="AB199" s="117">
        <f>LOOKUP(I199,'Pattern lookup'!$A$4:$A$21,'Pattern lookup'!$H$4:$H$21)*X199</f>
        <v>48</v>
      </c>
    </row>
    <row r="200" spans="1:28" ht="15" hidden="1" customHeight="1" x14ac:dyDescent="0.2">
      <c r="A200" s="91">
        <v>0</v>
      </c>
      <c r="B200" s="47"/>
      <c r="C200" s="47"/>
      <c r="D200" s="8" t="s">
        <v>432</v>
      </c>
      <c r="E200" s="8" t="s">
        <v>122</v>
      </c>
      <c r="F200" s="150" t="s">
        <v>434</v>
      </c>
      <c r="G200" s="8" t="s">
        <v>431</v>
      </c>
      <c r="H200" s="8" t="s">
        <v>87</v>
      </c>
      <c r="I200" s="14" t="s">
        <v>426</v>
      </c>
      <c r="J200" s="69">
        <v>0</v>
      </c>
      <c r="K200" s="54">
        <v>30</v>
      </c>
      <c r="L200" s="13">
        <f ca="1">LOOKUP(I200,'Pattern lookup'!$A$4:$A$29,'Pattern lookup'!$C$4:$C$17)</f>
        <v>37</v>
      </c>
      <c r="M200" s="9">
        <f ca="1">LOOKUP(I200,'Pattern lookup'!$A$4:$A$29,'Pattern lookup'!$D$4:$D$17)</f>
        <v>0</v>
      </c>
      <c r="N200" s="9">
        <f ca="1">LOOKUP(I200,'Pattern lookup'!$A$4:$A$29,'Pattern lookup'!$E$4:$E$17)</f>
        <v>0.35</v>
      </c>
      <c r="O200" s="42">
        <f t="shared" ref="O200:O205" si="28">IF(J200&lt;&gt;0, ROUNDUP(K200/J200,0), 0)</f>
        <v>0</v>
      </c>
      <c r="P200" s="52">
        <f t="shared" ref="P200:P205" si="29">IF(A200=1,(L200+M200*O200+N200*K200),0)</f>
        <v>0</v>
      </c>
      <c r="Q200" s="56" t="s">
        <v>301</v>
      </c>
      <c r="R200">
        <f t="shared" si="23"/>
        <v>0</v>
      </c>
      <c r="S200" s="54"/>
      <c r="T200" s="42">
        <f t="shared" ca="1" si="24"/>
        <v>0</v>
      </c>
      <c r="U200">
        <f t="shared" ca="1" si="25"/>
        <v>0</v>
      </c>
      <c r="V200" s="8"/>
      <c r="W200" s="90"/>
      <c r="X200" s="130"/>
      <c r="Y200">
        <f t="shared" ca="1" si="26"/>
        <v>0</v>
      </c>
      <c r="Z200" s="117"/>
      <c r="AA200" s="117">
        <f t="shared" ca="1" si="27"/>
        <v>0</v>
      </c>
      <c r="AB200" s="117">
        <f>LOOKUP(I200,'Pattern lookup'!$A$4:$A$21,'Pattern lookup'!$H$4:$H$21)*X200</f>
        <v>0</v>
      </c>
    </row>
    <row r="201" spans="1:28" ht="15" hidden="1" customHeight="1" x14ac:dyDescent="0.2">
      <c r="A201" s="91">
        <v>0</v>
      </c>
      <c r="B201" s="47"/>
      <c r="C201" s="47"/>
      <c r="D201" s="8" t="s">
        <v>436</v>
      </c>
      <c r="E201" s="8" t="s">
        <v>124</v>
      </c>
      <c r="F201" s="150" t="s">
        <v>433</v>
      </c>
      <c r="G201" s="8" t="s">
        <v>431</v>
      </c>
      <c r="H201" s="8" t="s">
        <v>87</v>
      </c>
      <c r="I201" s="14" t="s">
        <v>426</v>
      </c>
      <c r="J201" s="69">
        <v>0</v>
      </c>
      <c r="K201" s="54">
        <v>30</v>
      </c>
      <c r="L201" s="13">
        <f ca="1">LOOKUP(I201,'Pattern lookup'!$A$4:$A$29,'Pattern lookup'!$C$4:$C$17)</f>
        <v>37</v>
      </c>
      <c r="M201" s="9">
        <f ca="1">LOOKUP(I201,'Pattern lookup'!$A$4:$A$29,'Pattern lookup'!$D$4:$D$17)</f>
        <v>0</v>
      </c>
      <c r="N201" s="9">
        <f ca="1">LOOKUP(I201,'Pattern lookup'!$A$4:$A$29,'Pattern lookup'!$E$4:$E$17)</f>
        <v>0.35</v>
      </c>
      <c r="O201" s="42">
        <f t="shared" si="28"/>
        <v>0</v>
      </c>
      <c r="P201" s="52">
        <f t="shared" si="29"/>
        <v>0</v>
      </c>
      <c r="Q201" s="55" t="s">
        <v>301</v>
      </c>
      <c r="R201">
        <f t="shared" si="23"/>
        <v>0</v>
      </c>
      <c r="S201" s="54"/>
      <c r="T201" s="42">
        <f t="shared" ca="1" si="24"/>
        <v>0</v>
      </c>
      <c r="U201">
        <f t="shared" ca="1" si="25"/>
        <v>0</v>
      </c>
      <c r="V201" s="8"/>
      <c r="W201" s="90"/>
      <c r="X201" s="130"/>
      <c r="Y201">
        <f t="shared" ca="1" si="26"/>
        <v>0</v>
      </c>
      <c r="Z201" s="117"/>
      <c r="AA201" s="117">
        <f t="shared" ca="1" si="27"/>
        <v>0</v>
      </c>
      <c r="AB201" s="117">
        <f>LOOKUP(I201,'Pattern lookup'!$A$4:$A$21,'Pattern lookup'!$H$4:$H$21)*X201</f>
        <v>0</v>
      </c>
    </row>
    <row r="202" spans="1:28" ht="15" hidden="1" customHeight="1" x14ac:dyDescent="0.2">
      <c r="A202" s="91">
        <v>0</v>
      </c>
      <c r="B202" s="47"/>
      <c r="C202" s="47"/>
      <c r="D202" s="8" t="s">
        <v>436</v>
      </c>
      <c r="E202" s="8" t="s">
        <v>124</v>
      </c>
      <c r="F202" s="150" t="s">
        <v>434</v>
      </c>
      <c r="G202" s="8" t="s">
        <v>431</v>
      </c>
      <c r="H202" s="8" t="s">
        <v>87</v>
      </c>
      <c r="I202" s="14" t="s">
        <v>426</v>
      </c>
      <c r="J202" s="69">
        <v>0</v>
      </c>
      <c r="K202" s="54">
        <v>30</v>
      </c>
      <c r="L202" s="13">
        <f ca="1">LOOKUP(I202,'Pattern lookup'!$A$4:$A$29,'Pattern lookup'!$C$4:$C$17)</f>
        <v>37</v>
      </c>
      <c r="M202" s="9">
        <f ca="1">LOOKUP(I202,'Pattern lookup'!$A$4:$A$29,'Pattern lookup'!$D$4:$D$17)</f>
        <v>0</v>
      </c>
      <c r="N202" s="9">
        <f ca="1">LOOKUP(I202,'Pattern lookup'!$A$4:$A$29,'Pattern lookup'!$E$4:$E$17)</f>
        <v>0.35</v>
      </c>
      <c r="O202" s="42">
        <f t="shared" si="28"/>
        <v>0</v>
      </c>
      <c r="P202" s="52">
        <f t="shared" si="29"/>
        <v>0</v>
      </c>
      <c r="Q202" s="55" t="s">
        <v>301</v>
      </c>
      <c r="R202">
        <f t="shared" si="23"/>
        <v>0</v>
      </c>
      <c r="S202" s="54"/>
      <c r="T202" s="42">
        <f t="shared" ca="1" si="24"/>
        <v>0</v>
      </c>
      <c r="U202">
        <f t="shared" ca="1" si="25"/>
        <v>0</v>
      </c>
      <c r="V202" s="8"/>
      <c r="W202" s="90"/>
      <c r="X202" s="130"/>
      <c r="Y202">
        <f t="shared" ca="1" si="26"/>
        <v>0</v>
      </c>
      <c r="Z202" s="117"/>
      <c r="AA202" s="117">
        <f t="shared" ca="1" si="27"/>
        <v>0</v>
      </c>
      <c r="AB202" s="117">
        <f>LOOKUP(I202,'Pattern lookup'!$A$4:$A$21,'Pattern lookup'!$H$4:$H$21)*X202</f>
        <v>0</v>
      </c>
    </row>
    <row r="203" spans="1:28" ht="15" hidden="1" customHeight="1" x14ac:dyDescent="0.2">
      <c r="A203" s="91">
        <v>0</v>
      </c>
      <c r="B203" s="47"/>
      <c r="C203" s="47"/>
      <c r="D203" s="8" t="s">
        <v>436</v>
      </c>
      <c r="E203" s="8" t="s">
        <v>124</v>
      </c>
      <c r="F203" s="150" t="s">
        <v>435</v>
      </c>
      <c r="G203" s="8" t="s">
        <v>431</v>
      </c>
      <c r="H203" s="8" t="s">
        <v>87</v>
      </c>
      <c r="I203" s="14" t="s">
        <v>426</v>
      </c>
      <c r="J203" s="69">
        <v>0</v>
      </c>
      <c r="K203" s="54">
        <v>30</v>
      </c>
      <c r="L203" s="13">
        <f ca="1">LOOKUP(I203,'Pattern lookup'!$A$4:$A$29,'Pattern lookup'!$C$4:$C$17)</f>
        <v>37</v>
      </c>
      <c r="M203" s="9">
        <f ca="1">LOOKUP(I203,'Pattern lookup'!$A$4:$A$29,'Pattern lookup'!$D$4:$D$17)</f>
        <v>0</v>
      </c>
      <c r="N203" s="9">
        <f ca="1">LOOKUP(I203,'Pattern lookup'!$A$4:$A$29,'Pattern lookup'!$E$4:$E$17)</f>
        <v>0.35</v>
      </c>
      <c r="O203" s="42">
        <f t="shared" si="28"/>
        <v>0</v>
      </c>
      <c r="P203" s="52">
        <f t="shared" si="29"/>
        <v>0</v>
      </c>
      <c r="Q203" s="55" t="s">
        <v>301</v>
      </c>
      <c r="R203">
        <f t="shared" si="23"/>
        <v>0</v>
      </c>
      <c r="S203" s="54"/>
      <c r="T203" s="42">
        <f t="shared" ca="1" si="24"/>
        <v>0</v>
      </c>
      <c r="U203">
        <f t="shared" ca="1" si="25"/>
        <v>0</v>
      </c>
      <c r="V203" s="92"/>
      <c r="W203" s="90"/>
      <c r="X203" s="130"/>
      <c r="Y203">
        <f t="shared" ca="1" si="26"/>
        <v>0</v>
      </c>
      <c r="Z203" s="117"/>
      <c r="AA203" s="117">
        <f t="shared" ca="1" si="27"/>
        <v>0</v>
      </c>
      <c r="AB203" s="117">
        <f>LOOKUP(I203,'Pattern lookup'!$A$4:$A$21,'Pattern lookup'!$H$4:$H$21)*X203</f>
        <v>0</v>
      </c>
    </row>
    <row r="204" spans="1:28" ht="15" hidden="1" customHeight="1" x14ac:dyDescent="0.2">
      <c r="A204" s="91">
        <v>0</v>
      </c>
      <c r="B204" s="47"/>
      <c r="C204" s="47"/>
      <c r="D204" s="8" t="s">
        <v>437</v>
      </c>
      <c r="E204" s="8" t="s">
        <v>131</v>
      </c>
      <c r="F204" s="150" t="s">
        <v>433</v>
      </c>
      <c r="G204" s="8" t="s">
        <v>431</v>
      </c>
      <c r="H204" s="8" t="s">
        <v>87</v>
      </c>
      <c r="I204" s="14" t="s">
        <v>426</v>
      </c>
      <c r="J204" s="69">
        <v>0</v>
      </c>
      <c r="K204" s="54">
        <v>30</v>
      </c>
      <c r="L204" s="13">
        <f ca="1">LOOKUP(I204,'Pattern lookup'!$A$4:$A$29,'Pattern lookup'!$C$4:$C$17)</f>
        <v>37</v>
      </c>
      <c r="M204" s="9">
        <f ca="1">LOOKUP(I204,'Pattern lookup'!$A$4:$A$29,'Pattern lookup'!$D$4:$D$17)</f>
        <v>0</v>
      </c>
      <c r="N204" s="9">
        <f ca="1">LOOKUP(I204,'Pattern lookup'!$A$4:$A$29,'Pattern lookup'!$E$4:$E$17)</f>
        <v>0.35</v>
      </c>
      <c r="O204" s="42">
        <f t="shared" si="28"/>
        <v>0</v>
      </c>
      <c r="P204" s="52">
        <f t="shared" si="29"/>
        <v>0</v>
      </c>
      <c r="Q204" s="55" t="s">
        <v>301</v>
      </c>
      <c r="R204">
        <f t="shared" si="23"/>
        <v>0</v>
      </c>
      <c r="S204" s="54"/>
      <c r="T204" s="42">
        <f t="shared" ca="1" si="24"/>
        <v>0</v>
      </c>
      <c r="U204">
        <f t="shared" ca="1" si="25"/>
        <v>0</v>
      </c>
      <c r="V204" s="8"/>
      <c r="W204" s="90"/>
      <c r="X204" s="130"/>
      <c r="Y204">
        <f t="shared" ca="1" si="26"/>
        <v>0</v>
      </c>
      <c r="Z204" s="117"/>
      <c r="AA204" s="117">
        <f t="shared" ca="1" si="27"/>
        <v>0</v>
      </c>
      <c r="AB204" s="117">
        <f>LOOKUP(I204,'Pattern lookup'!$A$4:$A$21,'Pattern lookup'!$H$4:$H$21)*X204</f>
        <v>0</v>
      </c>
    </row>
    <row r="205" spans="1:28" ht="15" hidden="1" customHeight="1" x14ac:dyDescent="0.2">
      <c r="A205" s="91">
        <v>0</v>
      </c>
      <c r="B205" s="47"/>
      <c r="C205" s="47"/>
      <c r="D205" s="8" t="s">
        <v>437</v>
      </c>
      <c r="E205" s="8" t="s">
        <v>131</v>
      </c>
      <c r="F205" s="150" t="s">
        <v>435</v>
      </c>
      <c r="G205" s="8" t="s">
        <v>431</v>
      </c>
      <c r="H205" s="8" t="s">
        <v>87</v>
      </c>
      <c r="I205" s="14" t="s">
        <v>426</v>
      </c>
      <c r="J205" s="69">
        <v>0</v>
      </c>
      <c r="K205" s="54">
        <v>30</v>
      </c>
      <c r="L205" s="13">
        <f ca="1">LOOKUP(I205,'Pattern lookup'!$A$4:$A$29,'Pattern lookup'!$C$4:$C$17)</f>
        <v>37</v>
      </c>
      <c r="M205" s="9">
        <f ca="1">LOOKUP(I205,'Pattern lookup'!$A$4:$A$29,'Pattern lookup'!$D$4:$D$17)</f>
        <v>0</v>
      </c>
      <c r="N205" s="9">
        <f ca="1">LOOKUP(I205,'Pattern lookup'!$A$4:$A$29,'Pattern lookup'!$E$4:$E$17)</f>
        <v>0.35</v>
      </c>
      <c r="O205" s="42">
        <f t="shared" si="28"/>
        <v>0</v>
      </c>
      <c r="P205" s="52">
        <f t="shared" si="29"/>
        <v>0</v>
      </c>
      <c r="Q205" s="55" t="s">
        <v>301</v>
      </c>
      <c r="R205">
        <f t="shared" si="23"/>
        <v>0</v>
      </c>
      <c r="S205" s="54"/>
      <c r="T205" s="42">
        <f t="shared" ca="1" si="24"/>
        <v>0</v>
      </c>
      <c r="U205">
        <f t="shared" ca="1" si="25"/>
        <v>0</v>
      </c>
      <c r="V205" s="8"/>
      <c r="W205" s="90"/>
      <c r="X205" s="130"/>
      <c r="Y205">
        <f t="shared" ca="1" si="26"/>
        <v>0</v>
      </c>
      <c r="Z205" s="117"/>
      <c r="AA205" s="117">
        <f t="shared" ca="1" si="27"/>
        <v>0</v>
      </c>
      <c r="AB205" s="117">
        <f>LOOKUP(I205,'Pattern lookup'!$A$4:$A$21,'Pattern lookup'!$H$4:$H$21)*X205</f>
        <v>0</v>
      </c>
    </row>
    <row r="206" spans="1:28" ht="15" customHeight="1" x14ac:dyDescent="0.2">
      <c r="A206" s="91">
        <v>1</v>
      </c>
      <c r="B206" s="47"/>
      <c r="C206" s="47"/>
      <c r="D206" s="8" t="s">
        <v>164</v>
      </c>
      <c r="E206" s="8" t="s">
        <v>165</v>
      </c>
      <c r="F206" s="42" t="s">
        <v>445</v>
      </c>
      <c r="G206" s="8" t="s">
        <v>142</v>
      </c>
      <c r="H206" s="8" t="s">
        <v>87</v>
      </c>
      <c r="I206" s="14" t="s">
        <v>58</v>
      </c>
      <c r="J206" s="69">
        <v>0</v>
      </c>
      <c r="K206" s="54">
        <v>40</v>
      </c>
      <c r="L206" s="13">
        <f ca="1">LOOKUP(I206,'Pattern lookup'!$A$4:$A$29,'Pattern lookup'!$C$4:$C$17)</f>
        <v>35</v>
      </c>
      <c r="M206" s="9">
        <f ca="1">LOOKUP(I206,'Pattern lookup'!$A$4:$A$29,'Pattern lookup'!$D$4:$D$17)</f>
        <v>0</v>
      </c>
      <c r="N206" s="9">
        <f ca="1">LOOKUP(I206,'Pattern lookup'!$A$4:$A$29,'Pattern lookup'!$E$4:$E$17)</f>
        <v>0.6</v>
      </c>
      <c r="O206" s="42">
        <f t="shared" ref="O206" si="30">IF(J206&lt;&gt;0, ROUNDUP(K206/J206,0), 0)</f>
        <v>0</v>
      </c>
      <c r="P206" s="52">
        <f t="shared" ref="P206" ca="1" si="31">IF(A206=1,(L206+M206*O206+N206*K206),0)</f>
        <v>59</v>
      </c>
      <c r="Q206" s="56" t="s">
        <v>447</v>
      </c>
      <c r="R206">
        <f t="shared" ref="R206" ca="1" si="32">IF(AND(Q206&lt;&gt;"0 - Unallocated",Q206&lt;&gt;"z - Cancelled"),L206+N206*K206,)</f>
        <v>59</v>
      </c>
      <c r="S206" s="54"/>
      <c r="T206" s="42">
        <f t="shared" ref="T206" ca="1" si="33">R206+S206*M206</f>
        <v>59</v>
      </c>
      <c r="U206">
        <f t="shared" ref="U206" ca="1" si="34">P206-T206</f>
        <v>0</v>
      </c>
      <c r="V206" s="8"/>
      <c r="W206" s="90"/>
      <c r="X206" s="130"/>
      <c r="Y206">
        <f t="shared" ref="Y206" ca="1" si="35">U206-(X206*M206+V206*M206)</f>
        <v>0</v>
      </c>
      <c r="Z206" s="117"/>
      <c r="AA206" s="117">
        <f t="shared" ref="AA206" ca="1" si="36">X206*M206</f>
        <v>0</v>
      </c>
      <c r="AB206" s="117">
        <f>LOOKUP(I206,'Pattern lookup'!$A$4:$A$21,'Pattern lookup'!$H$4:$H$21)*X206</f>
        <v>0</v>
      </c>
    </row>
    <row r="207" spans="1:28" ht="15" customHeight="1" x14ac:dyDescent="0.2">
      <c r="A207" s="91">
        <v>1</v>
      </c>
      <c r="B207" s="47"/>
      <c r="C207" s="47"/>
      <c r="D207" s="8" t="s">
        <v>123</v>
      </c>
      <c r="E207" s="8" t="s">
        <v>124</v>
      </c>
      <c r="F207" s="99" t="s">
        <v>467</v>
      </c>
      <c r="G207" s="8" t="s">
        <v>101</v>
      </c>
      <c r="H207" s="8" t="s">
        <v>87</v>
      </c>
      <c r="I207" s="14" t="s">
        <v>426</v>
      </c>
      <c r="J207" s="69">
        <v>0</v>
      </c>
      <c r="K207" s="54">
        <v>20</v>
      </c>
      <c r="L207" s="13">
        <f ca="1">LOOKUP(I207,'Pattern lookup'!$A$4:$A$29,'Pattern lookup'!$C$4:$C$17)</f>
        <v>37</v>
      </c>
      <c r="M207" s="9">
        <f ca="1">LOOKUP(I207,'Pattern lookup'!$A$4:$A$29,'Pattern lookup'!$D$4:$D$17)</f>
        <v>0</v>
      </c>
      <c r="N207" s="9">
        <f ca="1">LOOKUP(I207,'Pattern lookup'!$A$4:$A$29,'Pattern lookup'!$E$4:$E$17)</f>
        <v>0.35</v>
      </c>
      <c r="O207" s="42">
        <f t="shared" ref="O207:O225" si="37">IF(J207&lt;&gt;0, ROUNDUP(K207/J207,0), 0)</f>
        <v>0</v>
      </c>
      <c r="P207" s="52">
        <f t="shared" ref="P207:P225" ca="1" si="38">IF(A207=1,(L207+M207*O207+N207*K207),0)</f>
        <v>44</v>
      </c>
      <c r="Q207" s="56" t="s">
        <v>453</v>
      </c>
      <c r="R207">
        <f t="shared" ref="R207:R225" ca="1" si="39">IF(AND(Q207&lt;&gt;"0 - Unallocated",Q207&lt;&gt;"z - Cancelled"),L207+N207*K207,)</f>
        <v>44</v>
      </c>
      <c r="S207" s="54"/>
      <c r="T207" s="42">
        <f t="shared" ref="T207:T225" ca="1" si="40">R207+S207*M207</f>
        <v>44</v>
      </c>
      <c r="U207">
        <f t="shared" ref="U207:U225" ca="1" si="41">P207-T207</f>
        <v>0</v>
      </c>
      <c r="V207" s="8"/>
      <c r="W207" s="90"/>
      <c r="X207" s="130"/>
      <c r="Y207">
        <f t="shared" ref="Y207:Y225" ca="1" si="42">U207-(X207*M207+V207*M207)</f>
        <v>0</v>
      </c>
      <c r="Z207" s="117"/>
      <c r="AA207" s="117">
        <f t="shared" ca="1" si="27"/>
        <v>0</v>
      </c>
      <c r="AB207" s="117">
        <f>LOOKUP(I207,'Pattern lookup'!$A$4:$A$21,'Pattern lookup'!$H$4:$H$21)*X207</f>
        <v>0</v>
      </c>
    </row>
    <row r="208" spans="1:28" ht="15" customHeight="1" x14ac:dyDescent="0.2">
      <c r="A208" s="91">
        <v>1</v>
      </c>
      <c r="B208" s="47"/>
      <c r="C208" s="47"/>
      <c r="D208" s="8" t="s">
        <v>104</v>
      </c>
      <c r="E208" s="8" t="s">
        <v>105</v>
      </c>
      <c r="F208" s="99" t="s">
        <v>467</v>
      </c>
      <c r="G208" s="8" t="s">
        <v>101</v>
      </c>
      <c r="H208" s="8" t="s">
        <v>87</v>
      </c>
      <c r="I208" s="14" t="s">
        <v>426</v>
      </c>
      <c r="J208" s="69">
        <v>0</v>
      </c>
      <c r="K208" s="54">
        <v>20</v>
      </c>
      <c r="L208" s="13">
        <f ca="1">LOOKUP(I208,'Pattern lookup'!$A$4:$A$29,'Pattern lookup'!$C$4:$C$17)</f>
        <v>37</v>
      </c>
      <c r="M208" s="9">
        <f ca="1">LOOKUP(I208,'Pattern lookup'!$A$4:$A$29,'Pattern lookup'!$D$4:$D$17)</f>
        <v>0</v>
      </c>
      <c r="N208" s="9">
        <f ca="1">LOOKUP(I208,'Pattern lookup'!$A$4:$A$29,'Pattern lookup'!$E$4:$E$17)</f>
        <v>0.35</v>
      </c>
      <c r="O208" s="42">
        <f t="shared" si="37"/>
        <v>0</v>
      </c>
      <c r="P208" s="52">
        <f t="shared" ca="1" si="38"/>
        <v>44</v>
      </c>
      <c r="Q208" s="56" t="s">
        <v>462</v>
      </c>
      <c r="R208">
        <f t="shared" ca="1" si="39"/>
        <v>44</v>
      </c>
      <c r="S208" s="54"/>
      <c r="T208" s="42">
        <f t="shared" ca="1" si="40"/>
        <v>44</v>
      </c>
      <c r="U208">
        <f t="shared" ca="1" si="41"/>
        <v>0</v>
      </c>
      <c r="V208" s="8"/>
      <c r="W208" s="90"/>
      <c r="X208" s="130"/>
      <c r="Y208">
        <f t="shared" ca="1" si="42"/>
        <v>0</v>
      </c>
      <c r="Z208" s="117"/>
      <c r="AA208" s="117">
        <f t="shared" ca="1" si="27"/>
        <v>0</v>
      </c>
      <c r="AB208" s="117">
        <f>LOOKUP(I208,'Pattern lookup'!$A$4:$A$21,'Pattern lookup'!$H$4:$H$21)*X208</f>
        <v>0</v>
      </c>
    </row>
    <row r="209" spans="1:28" ht="15" customHeight="1" x14ac:dyDescent="0.2">
      <c r="A209" s="91">
        <v>1</v>
      </c>
      <c r="B209" s="47"/>
      <c r="C209" s="47"/>
      <c r="D209" s="8" t="s">
        <v>151</v>
      </c>
      <c r="E209" s="8" t="s">
        <v>152</v>
      </c>
      <c r="F209" s="99" t="s">
        <v>467</v>
      </c>
      <c r="G209" s="8" t="s">
        <v>101</v>
      </c>
      <c r="H209" s="8" t="s">
        <v>87</v>
      </c>
      <c r="I209" s="14" t="s">
        <v>426</v>
      </c>
      <c r="J209" s="69">
        <v>0</v>
      </c>
      <c r="K209" s="54">
        <v>10</v>
      </c>
      <c r="L209" s="13">
        <f ca="1">LOOKUP(I209,'Pattern lookup'!$A$4:$A$29,'Pattern lookup'!$C$4:$C$17)</f>
        <v>37</v>
      </c>
      <c r="M209" s="9">
        <f ca="1">LOOKUP(I209,'Pattern lookup'!$A$4:$A$29,'Pattern lookup'!$D$4:$D$17)</f>
        <v>0</v>
      </c>
      <c r="N209" s="9">
        <f ca="1">LOOKUP(I209,'Pattern lookup'!$A$4:$A$29,'Pattern lookup'!$E$4:$E$17)</f>
        <v>0.35</v>
      </c>
      <c r="O209" s="42">
        <f t="shared" si="37"/>
        <v>0</v>
      </c>
      <c r="P209" s="52">
        <f t="shared" ca="1" si="38"/>
        <v>40.5</v>
      </c>
      <c r="Q209" s="56" t="s">
        <v>463</v>
      </c>
      <c r="R209">
        <f t="shared" ca="1" si="39"/>
        <v>40.5</v>
      </c>
      <c r="S209" s="54"/>
      <c r="T209" s="42">
        <f t="shared" ca="1" si="40"/>
        <v>40.5</v>
      </c>
      <c r="U209">
        <f t="shared" ca="1" si="41"/>
        <v>0</v>
      </c>
      <c r="V209" s="92"/>
      <c r="W209" s="90"/>
      <c r="X209" s="130"/>
      <c r="Y209">
        <f t="shared" ca="1" si="42"/>
        <v>0</v>
      </c>
      <c r="Z209" s="117"/>
      <c r="AA209" s="117">
        <f t="shared" ca="1" si="27"/>
        <v>0</v>
      </c>
      <c r="AB209" s="117">
        <f>LOOKUP(I209,'Pattern lookup'!$A$4:$A$21,'Pattern lookup'!$H$4:$H$21)*X209</f>
        <v>0</v>
      </c>
    </row>
    <row r="210" spans="1:28" ht="15" customHeight="1" x14ac:dyDescent="0.2">
      <c r="A210" s="91">
        <v>1</v>
      </c>
      <c r="B210" s="47"/>
      <c r="C210" s="47"/>
      <c r="D210" s="8" t="s">
        <v>166</v>
      </c>
      <c r="E210" s="8" t="s">
        <v>169</v>
      </c>
      <c r="F210" s="99" t="s">
        <v>467</v>
      </c>
      <c r="G210" s="8" t="s">
        <v>101</v>
      </c>
      <c r="H210" s="8" t="s">
        <v>87</v>
      </c>
      <c r="I210" s="14" t="s">
        <v>426</v>
      </c>
      <c r="J210" s="69">
        <v>0</v>
      </c>
      <c r="K210" s="54">
        <v>10</v>
      </c>
      <c r="L210" s="13">
        <f ca="1">LOOKUP(I210,'Pattern lookup'!$A$4:$A$29,'Pattern lookup'!$C$4:$C$17)</f>
        <v>37</v>
      </c>
      <c r="M210" s="9">
        <f ca="1">LOOKUP(I210,'Pattern lookup'!$A$4:$A$29,'Pattern lookup'!$D$4:$D$17)</f>
        <v>0</v>
      </c>
      <c r="N210" s="9">
        <f ca="1">LOOKUP(I210,'Pattern lookup'!$A$4:$A$29,'Pattern lookup'!$E$4:$E$17)</f>
        <v>0.35</v>
      </c>
      <c r="O210" s="42">
        <f t="shared" si="37"/>
        <v>0</v>
      </c>
      <c r="P210" s="52">
        <f t="shared" ca="1" si="38"/>
        <v>40.5</v>
      </c>
      <c r="Q210" s="56" t="s">
        <v>462</v>
      </c>
      <c r="R210">
        <f t="shared" ca="1" si="39"/>
        <v>40.5</v>
      </c>
      <c r="S210" s="54"/>
      <c r="T210" s="42">
        <f t="shared" ca="1" si="40"/>
        <v>40.5</v>
      </c>
      <c r="U210">
        <f t="shared" ca="1" si="41"/>
        <v>0</v>
      </c>
      <c r="V210" s="8"/>
      <c r="W210" s="90"/>
      <c r="X210" s="130"/>
      <c r="Y210">
        <f t="shared" ca="1" si="42"/>
        <v>0</v>
      </c>
      <c r="Z210" s="117"/>
      <c r="AA210" s="117">
        <f t="shared" ca="1" si="27"/>
        <v>0</v>
      </c>
      <c r="AB210" s="117">
        <f>LOOKUP(I210,'Pattern lookup'!$A$4:$A$21,'Pattern lookup'!$H$4:$H$21)*X210</f>
        <v>0</v>
      </c>
    </row>
    <row r="211" spans="1:28" ht="15" customHeight="1" x14ac:dyDescent="0.2">
      <c r="A211" s="91">
        <v>1</v>
      </c>
      <c r="B211" s="47"/>
      <c r="C211" s="47"/>
      <c r="D211" s="8" t="s">
        <v>226</v>
      </c>
      <c r="E211" s="8" t="s">
        <v>230</v>
      </c>
      <c r="F211" s="99" t="s">
        <v>467</v>
      </c>
      <c r="G211" s="8" t="s">
        <v>101</v>
      </c>
      <c r="H211" s="8" t="s">
        <v>87</v>
      </c>
      <c r="I211" s="14" t="s">
        <v>426</v>
      </c>
      <c r="J211" s="69">
        <v>0</v>
      </c>
      <c r="K211" s="54">
        <v>5</v>
      </c>
      <c r="L211" s="13">
        <f ca="1">LOOKUP(I211,'Pattern lookup'!$A$4:$A$29,'Pattern lookup'!$C$4:$C$17)</f>
        <v>37</v>
      </c>
      <c r="M211" s="9">
        <f ca="1">LOOKUP(I211,'Pattern lookup'!$A$4:$A$29,'Pattern lookup'!$D$4:$D$17)</f>
        <v>0</v>
      </c>
      <c r="N211" s="9">
        <f ca="1">LOOKUP(I211,'Pattern lookup'!$A$4:$A$29,'Pattern lookup'!$E$4:$E$17)</f>
        <v>0.35</v>
      </c>
      <c r="O211" s="42">
        <f t="shared" si="37"/>
        <v>0</v>
      </c>
      <c r="P211" s="52">
        <f t="shared" ca="1" si="38"/>
        <v>38.75</v>
      </c>
      <c r="Q211" s="56" t="s">
        <v>465</v>
      </c>
      <c r="R211">
        <f t="shared" ca="1" si="39"/>
        <v>38.75</v>
      </c>
      <c r="S211" s="54"/>
      <c r="T211" s="42">
        <f t="shared" ca="1" si="40"/>
        <v>38.75</v>
      </c>
      <c r="U211">
        <f t="shared" ca="1" si="41"/>
        <v>0</v>
      </c>
      <c r="V211" s="8"/>
      <c r="W211" s="90"/>
      <c r="X211" s="130"/>
      <c r="Y211">
        <f t="shared" ca="1" si="42"/>
        <v>0</v>
      </c>
      <c r="Z211" s="117"/>
      <c r="AA211" s="117">
        <f t="shared" ca="1" si="27"/>
        <v>0</v>
      </c>
      <c r="AB211" s="117">
        <f>LOOKUP(I211,'Pattern lookup'!$A$4:$A$21,'Pattern lookup'!$H$4:$H$21)*X211</f>
        <v>0</v>
      </c>
    </row>
    <row r="212" spans="1:28" ht="15" customHeight="1" x14ac:dyDescent="0.2">
      <c r="A212" s="91">
        <v>1</v>
      </c>
      <c r="B212" s="47"/>
      <c r="C212" s="47"/>
      <c r="D212" s="8" t="s">
        <v>139</v>
      </c>
      <c r="E212" s="8" t="s">
        <v>140</v>
      </c>
      <c r="F212" s="100" t="s">
        <v>466</v>
      </c>
      <c r="G212" s="8" t="s">
        <v>101</v>
      </c>
      <c r="H212" s="8" t="s">
        <v>87</v>
      </c>
      <c r="I212" s="14" t="s">
        <v>426</v>
      </c>
      <c r="J212" s="69">
        <v>0</v>
      </c>
      <c r="K212" s="54">
        <v>10</v>
      </c>
      <c r="L212" s="13">
        <f ca="1">LOOKUP(I212,'Pattern lookup'!$A$4:$A$29,'Pattern lookup'!$C$4:$C$17)</f>
        <v>37</v>
      </c>
      <c r="M212" s="9">
        <f ca="1">LOOKUP(I212,'Pattern lookup'!$A$4:$A$29,'Pattern lookup'!$D$4:$D$17)</f>
        <v>0</v>
      </c>
      <c r="N212" s="9">
        <f ca="1">LOOKUP(I212,'Pattern lookup'!$A$4:$A$29,'Pattern lookup'!$E$4:$E$17)</f>
        <v>0.35</v>
      </c>
      <c r="O212" s="42">
        <f t="shared" si="37"/>
        <v>0</v>
      </c>
      <c r="P212" s="52">
        <f t="shared" ca="1" si="38"/>
        <v>40.5</v>
      </c>
      <c r="Q212" s="56" t="s">
        <v>463</v>
      </c>
      <c r="R212">
        <f t="shared" ca="1" si="39"/>
        <v>40.5</v>
      </c>
      <c r="S212" s="54"/>
      <c r="T212" s="42">
        <f t="shared" ca="1" si="40"/>
        <v>40.5</v>
      </c>
      <c r="U212">
        <f t="shared" ca="1" si="41"/>
        <v>0</v>
      </c>
      <c r="V212" s="8"/>
      <c r="W212" s="90"/>
      <c r="X212" s="130"/>
      <c r="Y212">
        <f t="shared" ca="1" si="42"/>
        <v>0</v>
      </c>
      <c r="Z212" s="117"/>
      <c r="AA212" s="117">
        <f t="shared" ca="1" si="27"/>
        <v>0</v>
      </c>
      <c r="AB212" s="117">
        <f>LOOKUP(I212,'Pattern lookup'!$A$4:$A$21,'Pattern lookup'!$H$4:$H$21)*X212</f>
        <v>0</v>
      </c>
    </row>
    <row r="213" spans="1:28" ht="15" customHeight="1" x14ac:dyDescent="0.2">
      <c r="A213" s="91">
        <v>1</v>
      </c>
      <c r="B213" s="47"/>
      <c r="C213" s="47"/>
      <c r="D213" s="8" t="s">
        <v>147</v>
      </c>
      <c r="E213" s="8" t="s">
        <v>148</v>
      </c>
      <c r="F213" s="100" t="s">
        <v>466</v>
      </c>
      <c r="G213" s="8" t="s">
        <v>101</v>
      </c>
      <c r="H213" s="8" t="s">
        <v>87</v>
      </c>
      <c r="I213" s="14" t="s">
        <v>426</v>
      </c>
      <c r="J213" s="69">
        <v>0</v>
      </c>
      <c r="K213" s="54">
        <v>10</v>
      </c>
      <c r="L213" s="13">
        <f ca="1">LOOKUP(I213,'Pattern lookup'!$A$4:$A$29,'Pattern lookup'!$C$4:$C$17)</f>
        <v>37</v>
      </c>
      <c r="M213" s="9">
        <f ca="1">LOOKUP(I213,'Pattern lookup'!$A$4:$A$29,'Pattern lookup'!$D$4:$D$17)</f>
        <v>0</v>
      </c>
      <c r="N213" s="9">
        <f ca="1">LOOKUP(I213,'Pattern lookup'!$A$4:$A$29,'Pattern lookup'!$E$4:$E$17)</f>
        <v>0.35</v>
      </c>
      <c r="O213" s="42">
        <f t="shared" si="37"/>
        <v>0</v>
      </c>
      <c r="P213" s="52">
        <f t="shared" ca="1" si="38"/>
        <v>40.5</v>
      </c>
      <c r="Q213" s="56" t="s">
        <v>460</v>
      </c>
      <c r="R213">
        <f t="shared" ca="1" si="39"/>
        <v>40.5</v>
      </c>
      <c r="S213" s="54"/>
      <c r="T213" s="42">
        <f t="shared" ca="1" si="40"/>
        <v>40.5</v>
      </c>
      <c r="U213">
        <f t="shared" ca="1" si="41"/>
        <v>0</v>
      </c>
      <c r="V213" s="8"/>
      <c r="W213" s="90"/>
      <c r="X213" s="130"/>
      <c r="Y213">
        <f t="shared" ca="1" si="42"/>
        <v>0</v>
      </c>
      <c r="Z213" s="117"/>
      <c r="AA213" s="117">
        <f t="shared" ca="1" si="27"/>
        <v>0</v>
      </c>
      <c r="AB213" s="117">
        <f>LOOKUP(I213,'Pattern lookup'!$A$4:$A$21,'Pattern lookup'!$H$4:$H$21)*X213</f>
        <v>0</v>
      </c>
    </row>
    <row r="214" spans="1:28" ht="15" customHeight="1" x14ac:dyDescent="0.2">
      <c r="A214" s="91">
        <v>1</v>
      </c>
      <c r="B214" s="47"/>
      <c r="C214" s="47"/>
      <c r="D214" s="8" t="s">
        <v>156</v>
      </c>
      <c r="E214" s="8" t="s">
        <v>157</v>
      </c>
      <c r="F214" s="100" t="s">
        <v>466</v>
      </c>
      <c r="G214" s="8" t="s">
        <v>101</v>
      </c>
      <c r="H214" s="8" t="s">
        <v>87</v>
      </c>
      <c r="I214" s="14" t="s">
        <v>426</v>
      </c>
      <c r="J214" s="69">
        <v>0</v>
      </c>
      <c r="K214" s="54">
        <v>10</v>
      </c>
      <c r="L214" s="13">
        <f ca="1">LOOKUP(I214,'Pattern lookup'!$A$4:$A$29,'Pattern lookup'!$C$4:$C$17)</f>
        <v>37</v>
      </c>
      <c r="M214" s="9">
        <f ca="1">LOOKUP(I214,'Pattern lookup'!$A$4:$A$29,'Pattern lookup'!$D$4:$D$17)</f>
        <v>0</v>
      </c>
      <c r="N214" s="9">
        <f ca="1">LOOKUP(I214,'Pattern lookup'!$A$4:$A$29,'Pattern lookup'!$E$4:$E$17)</f>
        <v>0.35</v>
      </c>
      <c r="O214" s="42">
        <f t="shared" si="37"/>
        <v>0</v>
      </c>
      <c r="P214" s="52">
        <f t="shared" ca="1" si="38"/>
        <v>40.5</v>
      </c>
      <c r="Q214" s="56" t="s">
        <v>462</v>
      </c>
      <c r="R214">
        <f t="shared" ca="1" si="39"/>
        <v>40.5</v>
      </c>
      <c r="S214" s="54"/>
      <c r="T214" s="42">
        <f t="shared" ca="1" si="40"/>
        <v>40.5</v>
      </c>
      <c r="U214">
        <f t="shared" ca="1" si="41"/>
        <v>0</v>
      </c>
      <c r="V214" s="8"/>
      <c r="W214" s="90"/>
      <c r="X214" s="130"/>
      <c r="Y214">
        <f t="shared" ca="1" si="42"/>
        <v>0</v>
      </c>
      <c r="Z214" s="117"/>
      <c r="AA214" s="117">
        <f t="shared" ca="1" si="27"/>
        <v>0</v>
      </c>
      <c r="AB214" s="117">
        <f>LOOKUP(I214,'Pattern lookup'!$A$4:$A$21,'Pattern lookup'!$H$4:$H$21)*X214</f>
        <v>0</v>
      </c>
    </row>
    <row r="215" spans="1:28" ht="15" customHeight="1" x14ac:dyDescent="0.2">
      <c r="A215" s="91">
        <v>1</v>
      </c>
      <c r="B215" s="47"/>
      <c r="C215" s="47"/>
      <c r="D215" s="8" t="s">
        <v>173</v>
      </c>
      <c r="E215" s="8" t="s">
        <v>174</v>
      </c>
      <c r="F215" s="100" t="s">
        <v>466</v>
      </c>
      <c r="G215" s="8" t="s">
        <v>101</v>
      </c>
      <c r="H215" s="8" t="s">
        <v>87</v>
      </c>
      <c r="I215" s="14" t="s">
        <v>426</v>
      </c>
      <c r="J215" s="69">
        <v>0</v>
      </c>
      <c r="K215" s="54">
        <v>5</v>
      </c>
      <c r="L215" s="13">
        <f ca="1">LOOKUP(I215,'Pattern lookup'!$A$4:$A$29,'Pattern lookup'!$C$4:$C$17)</f>
        <v>37</v>
      </c>
      <c r="M215" s="9">
        <f ca="1">LOOKUP(I215,'Pattern lookup'!$A$4:$A$29,'Pattern lookup'!$D$4:$D$17)</f>
        <v>0</v>
      </c>
      <c r="N215" s="9">
        <f ca="1">LOOKUP(I215,'Pattern lookup'!$A$4:$A$29,'Pattern lookup'!$E$4:$E$17)</f>
        <v>0.35</v>
      </c>
      <c r="O215" s="42">
        <f t="shared" si="37"/>
        <v>0</v>
      </c>
      <c r="P215" s="52">
        <f t="shared" ca="1" si="38"/>
        <v>38.75</v>
      </c>
      <c r="Q215" s="56" t="s">
        <v>449</v>
      </c>
      <c r="R215">
        <f t="shared" ca="1" si="39"/>
        <v>38.75</v>
      </c>
      <c r="S215" s="54"/>
      <c r="T215" s="42">
        <f t="shared" ca="1" si="40"/>
        <v>38.75</v>
      </c>
      <c r="U215">
        <f t="shared" ca="1" si="41"/>
        <v>0</v>
      </c>
      <c r="V215" s="8"/>
      <c r="W215" s="90"/>
      <c r="X215" s="130"/>
      <c r="Y215">
        <f t="shared" ca="1" si="42"/>
        <v>0</v>
      </c>
      <c r="Z215" s="117"/>
      <c r="AA215" s="117">
        <f t="shared" ca="1" si="27"/>
        <v>0</v>
      </c>
      <c r="AB215" s="117">
        <f>LOOKUP(I215,'Pattern lookup'!$A$4:$A$21,'Pattern lookup'!$H$4:$H$21)*X215</f>
        <v>0</v>
      </c>
    </row>
    <row r="216" spans="1:28" ht="15" customHeight="1" x14ac:dyDescent="0.2">
      <c r="A216" s="91">
        <v>1</v>
      </c>
      <c r="B216" s="47"/>
      <c r="C216" s="47"/>
      <c r="D216" s="8" t="s">
        <v>121</v>
      </c>
      <c r="E216" s="8" t="s">
        <v>122</v>
      </c>
      <c r="F216" s="95" t="s">
        <v>468</v>
      </c>
      <c r="G216" s="8" t="s">
        <v>101</v>
      </c>
      <c r="H216" s="8" t="s">
        <v>87</v>
      </c>
      <c r="I216" s="14" t="s">
        <v>426</v>
      </c>
      <c r="J216" s="69">
        <v>0</v>
      </c>
      <c r="K216" s="54">
        <v>20</v>
      </c>
      <c r="L216" s="13">
        <f ca="1">LOOKUP(I216,'Pattern lookup'!$A$4:$A$29,'Pattern lookup'!$C$4:$C$17)</f>
        <v>37</v>
      </c>
      <c r="M216" s="9">
        <f ca="1">LOOKUP(I216,'Pattern lookup'!$A$4:$A$29,'Pattern lookup'!$D$4:$D$17)</f>
        <v>0</v>
      </c>
      <c r="N216" s="9">
        <f ca="1">LOOKUP(I216,'Pattern lookup'!$A$4:$A$29,'Pattern lookup'!$E$4:$E$17)</f>
        <v>0.35</v>
      </c>
      <c r="O216" s="42">
        <f t="shared" si="37"/>
        <v>0</v>
      </c>
      <c r="P216" s="52">
        <f t="shared" ca="1" si="38"/>
        <v>44</v>
      </c>
      <c r="Q216" s="56" t="s">
        <v>459</v>
      </c>
      <c r="R216">
        <f t="shared" ca="1" si="39"/>
        <v>44</v>
      </c>
      <c r="S216" s="54"/>
      <c r="T216" s="42">
        <f t="shared" ca="1" si="40"/>
        <v>44</v>
      </c>
      <c r="U216">
        <f t="shared" ca="1" si="41"/>
        <v>0</v>
      </c>
      <c r="V216" s="8"/>
      <c r="W216" s="90"/>
      <c r="X216" s="130"/>
      <c r="Y216">
        <f t="shared" ca="1" si="42"/>
        <v>0</v>
      </c>
      <c r="Z216" s="117"/>
      <c r="AA216" s="117">
        <f t="shared" ca="1" si="27"/>
        <v>0</v>
      </c>
      <c r="AB216" s="117">
        <f>LOOKUP(I216,'Pattern lookup'!$A$4:$A$21,'Pattern lookup'!$H$4:$H$21)*X216</f>
        <v>0</v>
      </c>
    </row>
    <row r="217" spans="1:28" ht="15" customHeight="1" x14ac:dyDescent="0.2">
      <c r="A217" s="91">
        <v>1</v>
      </c>
      <c r="B217" s="47"/>
      <c r="C217" s="47"/>
      <c r="D217" s="8" t="s">
        <v>123</v>
      </c>
      <c r="E217" s="8" t="s">
        <v>124</v>
      </c>
      <c r="F217" s="95" t="s">
        <v>468</v>
      </c>
      <c r="G217" s="8" t="s">
        <v>101</v>
      </c>
      <c r="H217" s="8" t="s">
        <v>87</v>
      </c>
      <c r="I217" s="14" t="s">
        <v>426</v>
      </c>
      <c r="J217" s="69">
        <v>0</v>
      </c>
      <c r="K217" s="54">
        <v>20</v>
      </c>
      <c r="L217" s="13">
        <f ca="1">LOOKUP(I217,'Pattern lookup'!$A$4:$A$29,'Pattern lookup'!$C$4:$C$17)</f>
        <v>37</v>
      </c>
      <c r="M217" s="9">
        <f ca="1">LOOKUP(I217,'Pattern lookup'!$A$4:$A$29,'Pattern lookup'!$D$4:$D$17)</f>
        <v>0</v>
      </c>
      <c r="N217" s="9">
        <f ca="1">LOOKUP(I217,'Pattern lookup'!$A$4:$A$29,'Pattern lookup'!$E$4:$E$17)</f>
        <v>0.35</v>
      </c>
      <c r="O217" s="42">
        <f t="shared" si="37"/>
        <v>0</v>
      </c>
      <c r="P217" s="52">
        <f t="shared" ca="1" si="38"/>
        <v>44</v>
      </c>
      <c r="Q217" s="56" t="s">
        <v>458</v>
      </c>
      <c r="R217">
        <f t="shared" ca="1" si="39"/>
        <v>44</v>
      </c>
      <c r="S217" s="54"/>
      <c r="T217" s="42">
        <f t="shared" ca="1" si="40"/>
        <v>44</v>
      </c>
      <c r="U217">
        <f t="shared" ca="1" si="41"/>
        <v>0</v>
      </c>
      <c r="V217" s="92"/>
      <c r="W217" s="90"/>
      <c r="X217" s="130"/>
      <c r="Y217">
        <f t="shared" ca="1" si="42"/>
        <v>0</v>
      </c>
      <c r="Z217" s="117"/>
      <c r="AA217" s="117">
        <f t="shared" ca="1" si="27"/>
        <v>0</v>
      </c>
      <c r="AB217" s="117">
        <f>LOOKUP(I217,'Pattern lookup'!$A$4:$A$21,'Pattern lookup'!$H$4:$H$21)*X217</f>
        <v>0</v>
      </c>
    </row>
    <row r="218" spans="1:28" ht="15" customHeight="1" x14ac:dyDescent="0.2">
      <c r="A218" s="91">
        <v>1</v>
      </c>
      <c r="B218" s="47"/>
      <c r="C218" s="47"/>
      <c r="D218" s="8" t="s">
        <v>125</v>
      </c>
      <c r="E218" s="8" t="s">
        <v>126</v>
      </c>
      <c r="F218" s="95" t="s">
        <v>468</v>
      </c>
      <c r="G218" s="8" t="s">
        <v>101</v>
      </c>
      <c r="H218" s="8" t="s">
        <v>87</v>
      </c>
      <c r="I218" s="14" t="s">
        <v>426</v>
      </c>
      <c r="J218" s="69">
        <v>0</v>
      </c>
      <c r="K218" s="54">
        <v>20</v>
      </c>
      <c r="L218" s="13">
        <f ca="1">LOOKUP(I218,'Pattern lookup'!$A$4:$A$29,'Pattern lookup'!$C$4:$C$17)</f>
        <v>37</v>
      </c>
      <c r="M218" s="9">
        <f ca="1">LOOKUP(I218,'Pattern lookup'!$A$4:$A$29,'Pattern lookup'!$D$4:$D$17)</f>
        <v>0</v>
      </c>
      <c r="N218" s="9">
        <f ca="1">LOOKUP(I218,'Pattern lookup'!$A$4:$A$29,'Pattern lookup'!$E$4:$E$17)</f>
        <v>0.35</v>
      </c>
      <c r="O218" s="42">
        <f t="shared" si="37"/>
        <v>0</v>
      </c>
      <c r="P218" s="52">
        <f t="shared" ca="1" si="38"/>
        <v>44</v>
      </c>
      <c r="Q218" s="56" t="s">
        <v>449</v>
      </c>
      <c r="R218">
        <f t="shared" ca="1" si="39"/>
        <v>44</v>
      </c>
      <c r="S218" s="54"/>
      <c r="T218" s="42">
        <f t="shared" ca="1" si="40"/>
        <v>44</v>
      </c>
      <c r="U218">
        <f t="shared" ca="1" si="41"/>
        <v>0</v>
      </c>
      <c r="V218" s="8"/>
      <c r="W218" s="90"/>
      <c r="X218" s="130"/>
      <c r="Y218">
        <f t="shared" ca="1" si="42"/>
        <v>0</v>
      </c>
      <c r="Z218" s="117"/>
      <c r="AA218" s="117">
        <f t="shared" ca="1" si="27"/>
        <v>0</v>
      </c>
      <c r="AB218" s="117">
        <f>LOOKUP(I218,'Pattern lookup'!$A$4:$A$21,'Pattern lookup'!$H$4:$H$21)*X218</f>
        <v>0</v>
      </c>
    </row>
    <row r="219" spans="1:28" ht="15" customHeight="1" x14ac:dyDescent="0.2">
      <c r="A219" s="91">
        <v>1</v>
      </c>
      <c r="B219" s="47"/>
      <c r="C219" s="47"/>
      <c r="D219" s="8" t="s">
        <v>129</v>
      </c>
      <c r="E219" s="8" t="s">
        <v>130</v>
      </c>
      <c r="F219" s="95" t="s">
        <v>468</v>
      </c>
      <c r="G219" s="8" t="s">
        <v>101</v>
      </c>
      <c r="H219" s="8" t="s">
        <v>87</v>
      </c>
      <c r="I219" s="14" t="s">
        <v>426</v>
      </c>
      <c r="J219" s="69">
        <v>0</v>
      </c>
      <c r="K219" s="54">
        <v>20</v>
      </c>
      <c r="L219" s="13">
        <f ca="1">LOOKUP(I219,'Pattern lookup'!$A$4:$A$29,'Pattern lookup'!$C$4:$C$17)</f>
        <v>37</v>
      </c>
      <c r="M219" s="9">
        <f ca="1">LOOKUP(I219,'Pattern lookup'!$A$4:$A$29,'Pattern lookup'!$D$4:$D$17)</f>
        <v>0</v>
      </c>
      <c r="N219" s="9">
        <f ca="1">LOOKUP(I219,'Pattern lookup'!$A$4:$A$29,'Pattern lookup'!$E$4:$E$17)</f>
        <v>0.35</v>
      </c>
      <c r="O219" s="42">
        <f t="shared" si="37"/>
        <v>0</v>
      </c>
      <c r="P219" s="52">
        <f t="shared" ca="1" si="38"/>
        <v>44</v>
      </c>
      <c r="Q219" s="56" t="s">
        <v>455</v>
      </c>
      <c r="R219">
        <f t="shared" ca="1" si="39"/>
        <v>44</v>
      </c>
      <c r="S219" s="54"/>
      <c r="T219" s="42">
        <f t="shared" ca="1" si="40"/>
        <v>44</v>
      </c>
      <c r="U219">
        <f t="shared" ca="1" si="41"/>
        <v>0</v>
      </c>
      <c r="V219" s="8"/>
      <c r="W219" s="90"/>
      <c r="X219" s="130"/>
      <c r="Y219">
        <f t="shared" ca="1" si="42"/>
        <v>0</v>
      </c>
      <c r="Z219" s="117"/>
      <c r="AA219" s="117">
        <f t="shared" ca="1" si="27"/>
        <v>0</v>
      </c>
      <c r="AB219" s="117">
        <f>LOOKUP(I219,'Pattern lookup'!$A$4:$A$21,'Pattern lookup'!$H$4:$H$21)*X219</f>
        <v>0</v>
      </c>
    </row>
    <row r="220" spans="1:28" ht="15" customHeight="1" x14ac:dyDescent="0.2">
      <c r="A220" s="91">
        <v>1</v>
      </c>
      <c r="B220" s="47"/>
      <c r="C220" s="47"/>
      <c r="D220" s="8" t="s">
        <v>104</v>
      </c>
      <c r="E220" s="8" t="s">
        <v>105</v>
      </c>
      <c r="F220" s="95" t="s">
        <v>468</v>
      </c>
      <c r="G220" s="8" t="s">
        <v>101</v>
      </c>
      <c r="H220" s="8" t="s">
        <v>87</v>
      </c>
      <c r="I220" s="14" t="s">
        <v>426</v>
      </c>
      <c r="J220" s="69">
        <v>0</v>
      </c>
      <c r="K220" s="54">
        <v>20</v>
      </c>
      <c r="L220" s="13">
        <f ca="1">LOOKUP(I220,'Pattern lookup'!$A$4:$A$29,'Pattern lookup'!$C$4:$C$17)</f>
        <v>37</v>
      </c>
      <c r="M220" s="9">
        <f ca="1">LOOKUP(I220,'Pattern lookup'!$A$4:$A$29,'Pattern lookup'!$D$4:$D$17)</f>
        <v>0</v>
      </c>
      <c r="N220" s="9">
        <f ca="1">LOOKUP(I220,'Pattern lookup'!$A$4:$A$29,'Pattern lookup'!$E$4:$E$17)</f>
        <v>0.35</v>
      </c>
      <c r="O220" s="42">
        <f t="shared" si="37"/>
        <v>0</v>
      </c>
      <c r="P220" s="52">
        <f t="shared" ca="1" si="38"/>
        <v>44</v>
      </c>
      <c r="Q220" s="56" t="s">
        <v>462</v>
      </c>
      <c r="R220">
        <f t="shared" ca="1" si="39"/>
        <v>44</v>
      </c>
      <c r="S220" s="54"/>
      <c r="T220" s="42">
        <f t="shared" ca="1" si="40"/>
        <v>44</v>
      </c>
      <c r="U220">
        <f t="shared" ca="1" si="41"/>
        <v>0</v>
      </c>
      <c r="V220" s="8"/>
      <c r="W220" s="90"/>
      <c r="X220" s="130"/>
      <c r="Y220">
        <f t="shared" ca="1" si="42"/>
        <v>0</v>
      </c>
      <c r="Z220" s="117"/>
      <c r="AA220" s="117">
        <f t="shared" ca="1" si="27"/>
        <v>0</v>
      </c>
      <c r="AB220" s="117">
        <f>LOOKUP(I220,'Pattern lookup'!$A$4:$A$21,'Pattern lookup'!$H$4:$H$21)*X220</f>
        <v>0</v>
      </c>
    </row>
    <row r="221" spans="1:28" ht="15" customHeight="1" x14ac:dyDescent="0.2">
      <c r="A221" s="91">
        <v>1</v>
      </c>
      <c r="B221" s="47"/>
      <c r="C221" s="47"/>
      <c r="D221" s="8" t="s">
        <v>151</v>
      </c>
      <c r="E221" s="8" t="s">
        <v>152</v>
      </c>
      <c r="F221" s="95" t="s">
        <v>468</v>
      </c>
      <c r="G221" s="8" t="s">
        <v>101</v>
      </c>
      <c r="H221" s="8" t="s">
        <v>87</v>
      </c>
      <c r="I221" s="14" t="s">
        <v>426</v>
      </c>
      <c r="J221" s="69">
        <v>0</v>
      </c>
      <c r="K221" s="54">
        <v>10</v>
      </c>
      <c r="L221" s="13">
        <f ca="1">LOOKUP(I221,'Pattern lookup'!$A$4:$A$29,'Pattern lookup'!$C$4:$C$17)</f>
        <v>37</v>
      </c>
      <c r="M221" s="9">
        <f ca="1">LOOKUP(I221,'Pattern lookup'!$A$4:$A$29,'Pattern lookup'!$D$4:$D$17)</f>
        <v>0</v>
      </c>
      <c r="N221" s="9">
        <f ca="1">LOOKUP(I221,'Pattern lookup'!$A$4:$A$29,'Pattern lookup'!$E$4:$E$17)</f>
        <v>0.35</v>
      </c>
      <c r="O221" s="42">
        <f t="shared" si="37"/>
        <v>0</v>
      </c>
      <c r="P221" s="52">
        <f t="shared" ca="1" si="38"/>
        <v>40.5</v>
      </c>
      <c r="Q221" s="56" t="s">
        <v>463</v>
      </c>
      <c r="R221">
        <f t="shared" ca="1" si="39"/>
        <v>40.5</v>
      </c>
      <c r="S221" s="54"/>
      <c r="T221" s="42">
        <f t="shared" ca="1" si="40"/>
        <v>40.5</v>
      </c>
      <c r="U221">
        <f t="shared" ca="1" si="41"/>
        <v>0</v>
      </c>
      <c r="V221" s="8"/>
      <c r="W221" s="90"/>
      <c r="X221" s="130"/>
      <c r="Y221">
        <f t="shared" ca="1" si="42"/>
        <v>0</v>
      </c>
      <c r="Z221" s="117"/>
      <c r="AA221" s="117">
        <f t="shared" ca="1" si="27"/>
        <v>0</v>
      </c>
      <c r="AB221" s="117">
        <f>LOOKUP(I221,'Pattern lookup'!$A$4:$A$21,'Pattern lookup'!$H$4:$H$21)*X221</f>
        <v>0</v>
      </c>
    </row>
    <row r="222" spans="1:28" ht="15" customHeight="1" x14ac:dyDescent="0.2">
      <c r="A222" s="91">
        <v>1</v>
      </c>
      <c r="B222" s="47"/>
      <c r="C222" s="47"/>
      <c r="D222" s="8" t="s">
        <v>166</v>
      </c>
      <c r="E222" s="8" t="s">
        <v>169</v>
      </c>
      <c r="F222" s="95" t="s">
        <v>468</v>
      </c>
      <c r="G222" s="8" t="s">
        <v>101</v>
      </c>
      <c r="H222" s="8" t="s">
        <v>87</v>
      </c>
      <c r="I222" s="14" t="s">
        <v>426</v>
      </c>
      <c r="J222" s="69">
        <v>0</v>
      </c>
      <c r="K222" s="54">
        <v>10</v>
      </c>
      <c r="L222" s="13">
        <f ca="1">LOOKUP(I222,'Pattern lookup'!$A$4:$A$29,'Pattern lookup'!$C$4:$C$17)</f>
        <v>37</v>
      </c>
      <c r="M222" s="9">
        <f ca="1">LOOKUP(I222,'Pattern lookup'!$A$4:$A$29,'Pattern lookup'!$D$4:$D$17)</f>
        <v>0</v>
      </c>
      <c r="N222" s="9">
        <f ca="1">LOOKUP(I222,'Pattern lookup'!$A$4:$A$29,'Pattern lookup'!$E$4:$E$17)</f>
        <v>0.35</v>
      </c>
      <c r="O222" s="42">
        <f t="shared" si="37"/>
        <v>0</v>
      </c>
      <c r="P222" s="52">
        <f t="shared" ca="1" si="38"/>
        <v>40.5</v>
      </c>
      <c r="Q222" s="56" t="s">
        <v>452</v>
      </c>
      <c r="R222">
        <f t="shared" ca="1" si="39"/>
        <v>40.5</v>
      </c>
      <c r="S222" s="54"/>
      <c r="T222" s="42">
        <f t="shared" ca="1" si="40"/>
        <v>40.5</v>
      </c>
      <c r="U222">
        <f t="shared" ca="1" si="41"/>
        <v>0</v>
      </c>
      <c r="V222" s="8"/>
      <c r="W222" s="90"/>
      <c r="X222" s="130"/>
      <c r="Y222">
        <f t="shared" ca="1" si="42"/>
        <v>0</v>
      </c>
      <c r="Z222" s="117"/>
      <c r="AA222" s="117">
        <f t="shared" ca="1" si="27"/>
        <v>0</v>
      </c>
      <c r="AB222" s="117">
        <f>LOOKUP(I222,'Pattern lookup'!$A$4:$A$21,'Pattern lookup'!$H$4:$H$21)*X222</f>
        <v>0</v>
      </c>
    </row>
    <row r="223" spans="1:28" ht="15" customHeight="1" x14ac:dyDescent="0.2">
      <c r="A223" s="91">
        <v>1</v>
      </c>
      <c r="B223" s="47"/>
      <c r="C223" s="47"/>
      <c r="D223" s="8" t="s">
        <v>226</v>
      </c>
      <c r="E223" s="8" t="s">
        <v>230</v>
      </c>
      <c r="F223" s="95" t="s">
        <v>468</v>
      </c>
      <c r="G223" s="8" t="s">
        <v>101</v>
      </c>
      <c r="H223" s="8" t="s">
        <v>87</v>
      </c>
      <c r="I223" s="14" t="s">
        <v>426</v>
      </c>
      <c r="J223" s="69">
        <v>0</v>
      </c>
      <c r="K223" s="54">
        <v>5</v>
      </c>
      <c r="L223" s="13">
        <f ca="1">LOOKUP(I223,'Pattern lookup'!$A$4:$A$29,'Pattern lookup'!$C$4:$C$17)</f>
        <v>37</v>
      </c>
      <c r="M223" s="9">
        <f ca="1">LOOKUP(I223,'Pattern lookup'!$A$4:$A$29,'Pattern lookup'!$D$4:$D$17)</f>
        <v>0</v>
      </c>
      <c r="N223" s="9">
        <f ca="1">LOOKUP(I223,'Pattern lookup'!$A$4:$A$29,'Pattern lookup'!$E$4:$E$17)</f>
        <v>0.35</v>
      </c>
      <c r="O223" s="42">
        <f t="shared" si="37"/>
        <v>0</v>
      </c>
      <c r="P223" s="52">
        <f t="shared" ca="1" si="38"/>
        <v>38.75</v>
      </c>
      <c r="Q223" s="56" t="s">
        <v>267</v>
      </c>
      <c r="R223">
        <f t="shared" si="39"/>
        <v>0</v>
      </c>
      <c r="S223" s="54"/>
      <c r="T223" s="42">
        <f t="shared" ca="1" si="40"/>
        <v>0</v>
      </c>
      <c r="U223">
        <f t="shared" ca="1" si="41"/>
        <v>38.75</v>
      </c>
      <c r="V223" s="8"/>
      <c r="W223" s="90"/>
      <c r="X223" s="130"/>
      <c r="Y223">
        <f t="shared" ca="1" si="42"/>
        <v>38.75</v>
      </c>
      <c r="Z223" s="117" t="s">
        <v>440</v>
      </c>
      <c r="AA223" s="117">
        <f t="shared" ca="1" si="27"/>
        <v>0</v>
      </c>
      <c r="AB223" s="117">
        <f>LOOKUP(I223,'Pattern lookup'!$A$4:$A$21,'Pattern lookup'!$H$4:$H$21)*X223</f>
        <v>0</v>
      </c>
    </row>
    <row r="224" spans="1:28" ht="15" customHeight="1" x14ac:dyDescent="0.2">
      <c r="A224" s="91">
        <v>1</v>
      </c>
      <c r="B224" s="47"/>
      <c r="C224" s="47"/>
      <c r="D224" s="8" t="s">
        <v>217</v>
      </c>
      <c r="E224" s="8" t="s">
        <v>231</v>
      </c>
      <c r="F224" s="95" t="s">
        <v>468</v>
      </c>
      <c r="G224" s="8" t="s">
        <v>101</v>
      </c>
      <c r="H224" s="8" t="s">
        <v>87</v>
      </c>
      <c r="I224" s="14" t="s">
        <v>289</v>
      </c>
      <c r="J224" s="69">
        <v>0</v>
      </c>
      <c r="K224" s="54">
        <v>5</v>
      </c>
      <c r="L224" s="13">
        <f ca="1">LOOKUP(I224,'Pattern lookup'!$A$4:$A$29,'Pattern lookup'!$C$4:$C$17)</f>
        <v>41</v>
      </c>
      <c r="M224" s="9">
        <f ca="1">LOOKUP(I224,'Pattern lookup'!$A$4:$A$29,'Pattern lookup'!$D$4:$D$17)</f>
        <v>0</v>
      </c>
      <c r="N224" s="9">
        <f ca="1">LOOKUP(I224,'Pattern lookup'!$A$4:$A$29,'Pattern lookup'!$E$4:$E$17)</f>
        <v>0.6</v>
      </c>
      <c r="O224" s="42">
        <f t="shared" si="37"/>
        <v>0</v>
      </c>
      <c r="P224" s="52">
        <f t="shared" ca="1" si="38"/>
        <v>44</v>
      </c>
      <c r="Q224" s="56" t="s">
        <v>448</v>
      </c>
      <c r="R224">
        <f t="shared" ca="1" si="39"/>
        <v>44</v>
      </c>
      <c r="S224" s="54"/>
      <c r="T224" s="42">
        <f t="shared" ca="1" si="40"/>
        <v>44</v>
      </c>
      <c r="U224">
        <f t="shared" ca="1" si="41"/>
        <v>0</v>
      </c>
      <c r="V224" s="8"/>
      <c r="W224" s="90"/>
      <c r="X224" s="130"/>
      <c r="Y224">
        <f t="shared" ca="1" si="42"/>
        <v>0</v>
      </c>
      <c r="Z224" s="117"/>
      <c r="AA224" s="117">
        <f t="shared" ca="1" si="27"/>
        <v>0</v>
      </c>
      <c r="AB224" s="117">
        <f>LOOKUP(I224,'Pattern lookup'!$A$4:$A$21,'Pattern lookup'!$H$4:$H$21)*X224</f>
        <v>0</v>
      </c>
    </row>
    <row r="225" spans="1:28" ht="15" customHeight="1" x14ac:dyDescent="0.2">
      <c r="A225" s="91">
        <v>1</v>
      </c>
      <c r="B225" s="47"/>
      <c r="C225" s="47"/>
      <c r="D225" s="8" t="s">
        <v>244</v>
      </c>
      <c r="E225" s="8" t="s">
        <v>245</v>
      </c>
      <c r="F225" s="95" t="s">
        <v>468</v>
      </c>
      <c r="G225" s="8" t="s">
        <v>101</v>
      </c>
      <c r="H225" s="8" t="s">
        <v>87</v>
      </c>
      <c r="I225" s="14" t="s">
        <v>426</v>
      </c>
      <c r="J225" s="69">
        <v>0</v>
      </c>
      <c r="K225" s="54">
        <v>20</v>
      </c>
      <c r="L225" s="13">
        <f ca="1">LOOKUP(I225,'Pattern lookup'!$A$4:$A$29,'Pattern lookup'!$C$4:$C$17)</f>
        <v>37</v>
      </c>
      <c r="M225" s="9">
        <f ca="1">LOOKUP(I225,'Pattern lookup'!$A$4:$A$29,'Pattern lookup'!$D$4:$D$17)</f>
        <v>0</v>
      </c>
      <c r="N225" s="9">
        <f ca="1">LOOKUP(I225,'Pattern lookup'!$A$4:$A$29,'Pattern lookup'!$E$4:$E$17)</f>
        <v>0.35</v>
      </c>
      <c r="O225" s="42">
        <f t="shared" si="37"/>
        <v>0</v>
      </c>
      <c r="P225" s="52">
        <f t="shared" ca="1" si="38"/>
        <v>44</v>
      </c>
      <c r="Q225" s="56" t="s">
        <v>452</v>
      </c>
      <c r="R225">
        <f t="shared" ca="1" si="39"/>
        <v>44</v>
      </c>
      <c r="S225" s="54"/>
      <c r="T225" s="42">
        <f t="shared" ca="1" si="40"/>
        <v>44</v>
      </c>
      <c r="U225">
        <f t="shared" ca="1" si="41"/>
        <v>0</v>
      </c>
      <c r="V225" s="92"/>
      <c r="W225" s="90"/>
      <c r="X225" s="130"/>
      <c r="Y225">
        <f t="shared" ca="1" si="42"/>
        <v>0</v>
      </c>
      <c r="Z225" s="117"/>
      <c r="AA225" s="117">
        <f t="shared" ca="1" si="27"/>
        <v>0</v>
      </c>
      <c r="AB225" s="117">
        <f>LOOKUP(I225,'Pattern lookup'!$A$4:$A$21,'Pattern lookup'!$H$4:$H$21)*X225</f>
        <v>0</v>
      </c>
    </row>
    <row r="226" spans="1:28" ht="15" hidden="1" customHeight="1" x14ac:dyDescent="0.2">
      <c r="A226" s="91"/>
      <c r="B226" s="47"/>
      <c r="C226" s="47"/>
      <c r="D226" s="8"/>
      <c r="E226" s="8"/>
      <c r="F226" s="8"/>
      <c r="G226" s="8"/>
      <c r="H226" s="8"/>
      <c r="I226" s="14"/>
      <c r="J226" s="69"/>
      <c r="K226" s="54"/>
      <c r="L226" s="13"/>
      <c r="M226" s="9"/>
      <c r="N226" s="9"/>
      <c r="O226" s="42"/>
      <c r="P226" s="52"/>
      <c r="Q226" s="54"/>
      <c r="S226" s="54"/>
      <c r="T226" s="42"/>
      <c r="V226" s="8"/>
      <c r="W226" s="90"/>
      <c r="X226" s="130"/>
      <c r="Z226" s="117"/>
      <c r="AA226" s="117">
        <f t="shared" si="27"/>
        <v>0</v>
      </c>
      <c r="AB226" s="117"/>
    </row>
    <row r="227" spans="1:28" ht="15" hidden="1" customHeight="1" x14ac:dyDescent="0.2">
      <c r="A227" s="91"/>
      <c r="B227" s="47"/>
      <c r="C227" s="47"/>
      <c r="D227" s="8"/>
      <c r="E227" s="8"/>
      <c r="F227" s="8"/>
      <c r="G227" s="8"/>
      <c r="H227" s="8"/>
      <c r="I227" s="14"/>
      <c r="J227" s="69"/>
      <c r="K227" s="54"/>
      <c r="L227" s="13"/>
      <c r="M227" s="9"/>
      <c r="N227" s="9"/>
      <c r="O227" s="42"/>
      <c r="P227" s="52"/>
      <c r="Q227" s="54"/>
      <c r="S227" s="54"/>
      <c r="T227" s="42"/>
      <c r="V227" s="8"/>
      <c r="W227" s="90"/>
      <c r="X227" s="130"/>
      <c r="Z227" s="117"/>
      <c r="AA227" s="117">
        <f t="shared" si="27"/>
        <v>0</v>
      </c>
      <c r="AB227" s="117"/>
    </row>
    <row r="228" spans="1:28" ht="15" hidden="1" customHeight="1" x14ac:dyDescent="0.2">
      <c r="A228" s="91"/>
      <c r="B228" s="47"/>
      <c r="C228" s="47"/>
      <c r="D228" s="8"/>
      <c r="E228" s="8"/>
      <c r="F228" s="8"/>
      <c r="G228" s="8"/>
      <c r="H228" s="8"/>
      <c r="I228" s="14"/>
      <c r="J228" s="69"/>
      <c r="K228" s="54"/>
      <c r="L228" s="13"/>
      <c r="M228" s="9"/>
      <c r="N228" s="9"/>
      <c r="O228" s="42"/>
      <c r="P228" s="52"/>
      <c r="Q228" s="54"/>
      <c r="S228" s="54"/>
      <c r="T228" s="42"/>
      <c r="V228" s="8"/>
      <c r="W228" s="90"/>
      <c r="X228" s="130"/>
      <c r="Z228" s="117"/>
      <c r="AA228" s="117">
        <f t="shared" ref="AA228:AA267" si="43">X228*M228</f>
        <v>0</v>
      </c>
      <c r="AB228" s="117"/>
    </row>
    <row r="229" spans="1:28" ht="15" hidden="1" customHeight="1" x14ac:dyDescent="0.2">
      <c r="A229" s="91"/>
      <c r="B229" s="47"/>
      <c r="C229" s="47"/>
      <c r="D229" s="8"/>
      <c r="E229" s="8"/>
      <c r="F229" s="8"/>
      <c r="G229" s="8"/>
      <c r="H229" s="8"/>
      <c r="I229" s="14"/>
      <c r="J229" s="69"/>
      <c r="K229" s="54"/>
      <c r="L229" s="13"/>
      <c r="M229" s="9"/>
      <c r="N229" s="9"/>
      <c r="O229" s="42"/>
      <c r="P229" s="52"/>
      <c r="Q229" s="54"/>
      <c r="S229" s="54"/>
      <c r="T229" s="42"/>
      <c r="V229" s="8"/>
      <c r="W229" s="90"/>
      <c r="X229" s="130"/>
      <c r="Z229" s="117"/>
      <c r="AA229" s="117">
        <f t="shared" si="43"/>
        <v>0</v>
      </c>
      <c r="AB229" s="117"/>
    </row>
    <row r="230" spans="1:28" ht="15" hidden="1" customHeight="1" x14ac:dyDescent="0.2">
      <c r="A230" s="91"/>
      <c r="B230" s="47"/>
      <c r="C230" s="47"/>
      <c r="D230" s="8"/>
      <c r="E230" s="8"/>
      <c r="F230" s="8"/>
      <c r="G230" s="8"/>
      <c r="H230" s="8"/>
      <c r="I230" s="14"/>
      <c r="J230" s="69"/>
      <c r="K230" s="54"/>
      <c r="L230" s="13"/>
      <c r="M230" s="9"/>
      <c r="N230" s="9"/>
      <c r="O230" s="42"/>
      <c r="P230" s="52"/>
      <c r="Q230" s="54"/>
      <c r="S230" s="54"/>
      <c r="T230" s="42"/>
      <c r="V230" s="8"/>
      <c r="W230" s="90"/>
      <c r="X230" s="130"/>
      <c r="Z230" s="117"/>
      <c r="AA230" s="117">
        <f t="shared" si="43"/>
        <v>0</v>
      </c>
      <c r="AB230" s="117"/>
    </row>
    <row r="231" spans="1:28" ht="15" hidden="1" customHeight="1" x14ac:dyDescent="0.2">
      <c r="A231" s="91"/>
      <c r="B231" s="47"/>
      <c r="C231" s="47"/>
      <c r="D231" s="8"/>
      <c r="E231" s="8"/>
      <c r="F231" s="8"/>
      <c r="G231" s="8"/>
      <c r="H231" s="8"/>
      <c r="I231" s="14"/>
      <c r="J231" s="69"/>
      <c r="K231" s="54"/>
      <c r="L231" s="13"/>
      <c r="M231" s="9"/>
      <c r="N231" s="9"/>
      <c r="O231" s="42"/>
      <c r="P231" s="52"/>
      <c r="Q231" s="54"/>
      <c r="S231" s="54"/>
      <c r="T231" s="42"/>
      <c r="V231" s="8"/>
      <c r="W231" s="90"/>
      <c r="X231" s="130"/>
      <c r="Z231" s="117"/>
      <c r="AA231" s="117">
        <f t="shared" si="43"/>
        <v>0</v>
      </c>
      <c r="AB231" s="117"/>
    </row>
    <row r="232" spans="1:28" ht="15" hidden="1" customHeight="1" x14ac:dyDescent="0.2">
      <c r="A232" s="91"/>
      <c r="B232" s="47"/>
      <c r="C232" s="47"/>
      <c r="D232" s="8"/>
      <c r="E232" s="8"/>
      <c r="F232" s="8"/>
      <c r="G232" s="8"/>
      <c r="H232" s="8"/>
      <c r="I232" s="14"/>
      <c r="J232" s="69"/>
      <c r="K232" s="54"/>
      <c r="L232" s="13"/>
      <c r="M232" s="9"/>
      <c r="N232" s="9"/>
      <c r="O232" s="42"/>
      <c r="P232" s="52"/>
      <c r="Q232" s="54"/>
      <c r="S232" s="54"/>
      <c r="T232" s="41"/>
      <c r="V232" s="8"/>
      <c r="W232" s="90"/>
      <c r="X232" s="130"/>
      <c r="Z232" s="117"/>
      <c r="AA232" s="117">
        <f t="shared" si="43"/>
        <v>0</v>
      </c>
      <c r="AB232" s="117"/>
    </row>
    <row r="233" spans="1:28" ht="15" hidden="1" customHeight="1" x14ac:dyDescent="0.2">
      <c r="A233" s="91"/>
      <c r="B233" s="47"/>
      <c r="C233" s="47"/>
      <c r="D233" s="8"/>
      <c r="E233" s="8"/>
      <c r="F233" s="8"/>
      <c r="G233" s="8"/>
      <c r="H233" s="8"/>
      <c r="I233" s="14"/>
      <c r="J233" s="69"/>
      <c r="K233" s="54"/>
      <c r="L233" s="13"/>
      <c r="M233" s="9"/>
      <c r="N233" s="9"/>
      <c r="O233" s="42"/>
      <c r="P233" s="52"/>
      <c r="Q233" s="54"/>
      <c r="S233" s="54"/>
      <c r="T233" s="42"/>
      <c r="V233" s="92"/>
      <c r="W233" s="90"/>
      <c r="X233" s="130"/>
      <c r="Z233" s="117"/>
      <c r="AA233" s="117">
        <f t="shared" si="43"/>
        <v>0</v>
      </c>
      <c r="AB233" s="117"/>
    </row>
    <row r="234" spans="1:28" ht="15" hidden="1" customHeight="1" x14ac:dyDescent="0.2">
      <c r="A234" s="91"/>
      <c r="B234" s="47"/>
      <c r="C234" s="47"/>
      <c r="D234" s="8"/>
      <c r="E234" s="8"/>
      <c r="F234" s="8"/>
      <c r="G234" s="8"/>
      <c r="H234" s="8"/>
      <c r="I234" s="14"/>
      <c r="J234" s="69"/>
      <c r="K234" s="54"/>
      <c r="L234" s="13"/>
      <c r="M234" s="9"/>
      <c r="N234" s="9"/>
      <c r="O234" s="42"/>
      <c r="P234" s="52"/>
      <c r="Q234" s="54"/>
      <c r="S234" s="54"/>
      <c r="T234" s="42"/>
      <c r="V234" s="8"/>
      <c r="W234" s="90"/>
      <c r="X234" s="130"/>
      <c r="Z234" s="117"/>
      <c r="AA234" s="117">
        <f t="shared" si="43"/>
        <v>0</v>
      </c>
      <c r="AB234" s="117"/>
    </row>
    <row r="235" spans="1:28" ht="15" hidden="1" customHeight="1" x14ac:dyDescent="0.2">
      <c r="A235" s="91"/>
      <c r="B235" s="47"/>
      <c r="C235" s="47"/>
      <c r="D235" s="8"/>
      <c r="E235" s="8"/>
      <c r="F235" s="8"/>
      <c r="G235" s="8"/>
      <c r="H235" s="8"/>
      <c r="I235" s="14"/>
      <c r="J235" s="69"/>
      <c r="K235" s="54"/>
      <c r="L235" s="13"/>
      <c r="M235" s="9"/>
      <c r="N235" s="9"/>
      <c r="O235" s="42"/>
      <c r="P235" s="52"/>
      <c r="Q235" s="54"/>
      <c r="S235" s="54"/>
      <c r="T235" s="42"/>
      <c r="V235" s="8"/>
      <c r="W235" s="90"/>
      <c r="X235" s="130"/>
      <c r="Z235" s="117"/>
      <c r="AA235" s="117">
        <f t="shared" si="43"/>
        <v>0</v>
      </c>
      <c r="AB235" s="117"/>
    </row>
    <row r="236" spans="1:28" ht="15" hidden="1" customHeight="1" x14ac:dyDescent="0.2">
      <c r="A236" s="91"/>
      <c r="B236" s="47"/>
      <c r="C236" s="47"/>
      <c r="D236" s="8"/>
      <c r="E236" s="8"/>
      <c r="F236" s="8"/>
      <c r="G236" s="8"/>
      <c r="H236" s="8"/>
      <c r="I236" s="14"/>
      <c r="J236" s="69"/>
      <c r="K236" s="54"/>
      <c r="L236" s="13"/>
      <c r="M236" s="9"/>
      <c r="N236" s="9"/>
      <c r="O236" s="42"/>
      <c r="P236" s="52"/>
      <c r="Q236" s="54"/>
      <c r="S236" s="54"/>
      <c r="T236" s="42"/>
      <c r="V236" s="8"/>
      <c r="W236" s="90"/>
      <c r="X236" s="130"/>
      <c r="Z236" s="117"/>
      <c r="AA236" s="117">
        <f t="shared" si="43"/>
        <v>0</v>
      </c>
      <c r="AB236" s="117"/>
    </row>
    <row r="237" spans="1:28" ht="15" hidden="1" customHeight="1" x14ac:dyDescent="0.2">
      <c r="A237" s="91"/>
      <c r="B237" s="47"/>
      <c r="C237" s="47"/>
      <c r="D237" s="8"/>
      <c r="E237" s="8"/>
      <c r="F237" s="8"/>
      <c r="G237" s="8"/>
      <c r="H237" s="8"/>
      <c r="I237" s="14"/>
      <c r="J237" s="69"/>
      <c r="K237" s="54"/>
      <c r="L237" s="13"/>
      <c r="M237" s="9"/>
      <c r="N237" s="9"/>
      <c r="O237" s="42"/>
      <c r="P237" s="52"/>
      <c r="Q237" s="54"/>
      <c r="S237" s="54"/>
      <c r="T237" s="42"/>
      <c r="V237" s="8"/>
      <c r="W237" s="90"/>
      <c r="X237" s="130"/>
      <c r="Z237" s="117"/>
      <c r="AA237" s="117">
        <f t="shared" si="43"/>
        <v>0</v>
      </c>
      <c r="AB237" s="117"/>
    </row>
    <row r="238" spans="1:28" ht="15" hidden="1" customHeight="1" x14ac:dyDescent="0.2">
      <c r="A238" s="91"/>
      <c r="B238" s="47"/>
      <c r="C238" s="47"/>
      <c r="D238" s="8"/>
      <c r="E238" s="8"/>
      <c r="F238" s="8"/>
      <c r="G238" s="8"/>
      <c r="H238" s="8"/>
      <c r="I238" s="14"/>
      <c r="J238" s="69"/>
      <c r="K238" s="54"/>
      <c r="L238" s="13"/>
      <c r="M238" s="9"/>
      <c r="N238" s="9"/>
      <c r="O238" s="42"/>
      <c r="P238" s="52"/>
      <c r="Q238" s="54"/>
      <c r="S238" s="54"/>
      <c r="T238" s="42"/>
      <c r="V238" s="8"/>
      <c r="W238" s="90"/>
      <c r="X238" s="130"/>
      <c r="Z238" s="117"/>
      <c r="AA238" s="117">
        <f t="shared" si="43"/>
        <v>0</v>
      </c>
      <c r="AB238" s="117"/>
    </row>
    <row r="239" spans="1:28" ht="15" hidden="1" customHeight="1" x14ac:dyDescent="0.2">
      <c r="A239" s="91"/>
      <c r="B239" s="47"/>
      <c r="C239" s="47"/>
      <c r="D239" s="8"/>
      <c r="E239" s="8"/>
      <c r="F239" s="8"/>
      <c r="G239" s="8"/>
      <c r="H239" s="8"/>
      <c r="I239" s="14"/>
      <c r="J239" s="69"/>
      <c r="K239" s="54"/>
      <c r="L239" s="13"/>
      <c r="M239" s="9"/>
      <c r="N239" s="9"/>
      <c r="O239" s="42"/>
      <c r="P239" s="52"/>
      <c r="Q239" s="54"/>
      <c r="S239" s="54"/>
      <c r="T239" s="42"/>
      <c r="V239" s="8"/>
      <c r="W239" s="90"/>
      <c r="X239" s="130"/>
      <c r="Z239" s="117"/>
      <c r="AA239" s="117">
        <f t="shared" si="43"/>
        <v>0</v>
      </c>
      <c r="AB239" s="117"/>
    </row>
    <row r="240" spans="1:28" ht="15" hidden="1" customHeight="1" x14ac:dyDescent="0.2">
      <c r="A240" s="91"/>
      <c r="B240" s="47"/>
      <c r="C240" s="47"/>
      <c r="D240" s="8"/>
      <c r="E240" s="8"/>
      <c r="F240" s="8"/>
      <c r="G240" s="8"/>
      <c r="H240" s="8"/>
      <c r="I240" s="14"/>
      <c r="J240" s="69"/>
      <c r="K240" s="54"/>
      <c r="L240" s="13"/>
      <c r="M240" s="9"/>
      <c r="N240" s="9"/>
      <c r="O240" s="42"/>
      <c r="P240" s="52"/>
      <c r="Q240" s="54"/>
      <c r="S240" s="54"/>
      <c r="T240" s="42"/>
      <c r="V240" s="8"/>
      <c r="W240" s="90"/>
      <c r="X240" s="130"/>
      <c r="Z240" s="117"/>
      <c r="AA240" s="117">
        <f t="shared" si="43"/>
        <v>0</v>
      </c>
      <c r="AB240" s="117"/>
    </row>
    <row r="241" spans="1:28" ht="15" hidden="1" customHeight="1" x14ac:dyDescent="0.2">
      <c r="A241" s="91"/>
      <c r="B241" s="47"/>
      <c r="C241" s="47"/>
      <c r="D241" s="8"/>
      <c r="E241" s="8"/>
      <c r="F241" s="8"/>
      <c r="G241" s="8"/>
      <c r="H241" s="8"/>
      <c r="I241" s="14"/>
      <c r="J241" s="69"/>
      <c r="K241" s="54"/>
      <c r="L241" s="13"/>
      <c r="M241" s="9"/>
      <c r="N241" s="9"/>
      <c r="O241" s="42"/>
      <c r="P241" s="52"/>
      <c r="Q241" s="54"/>
      <c r="S241" s="54"/>
      <c r="T241" s="42"/>
      <c r="V241" s="92"/>
      <c r="W241" s="90"/>
      <c r="X241" s="130"/>
      <c r="Z241" s="117"/>
      <c r="AA241" s="117">
        <f t="shared" si="43"/>
        <v>0</v>
      </c>
      <c r="AB241" s="117"/>
    </row>
    <row r="242" spans="1:28" ht="15" hidden="1" customHeight="1" x14ac:dyDescent="0.2">
      <c r="A242" s="91"/>
      <c r="B242" s="47"/>
      <c r="C242" s="47"/>
      <c r="D242" s="8"/>
      <c r="E242" s="8"/>
      <c r="F242" s="8"/>
      <c r="G242" s="8"/>
      <c r="H242" s="8"/>
      <c r="I242" s="14"/>
      <c r="J242" s="69"/>
      <c r="K242" s="54"/>
      <c r="L242" s="13"/>
      <c r="M242" s="9"/>
      <c r="N242" s="9"/>
      <c r="O242" s="42"/>
      <c r="P242" s="52"/>
      <c r="Q242" s="54"/>
      <c r="S242" s="54"/>
      <c r="T242" s="42"/>
      <c r="V242" s="8"/>
      <c r="W242" s="90"/>
      <c r="X242" s="130"/>
      <c r="Z242" s="117"/>
      <c r="AA242" s="117">
        <f t="shared" si="43"/>
        <v>0</v>
      </c>
      <c r="AB242" s="117"/>
    </row>
    <row r="243" spans="1:28" ht="15" hidden="1" customHeight="1" x14ac:dyDescent="0.2">
      <c r="A243" s="91"/>
      <c r="B243" s="47"/>
      <c r="C243" s="47"/>
      <c r="D243" s="8"/>
      <c r="E243" s="8"/>
      <c r="F243" s="8"/>
      <c r="G243" s="8"/>
      <c r="H243" s="8"/>
      <c r="I243" s="14"/>
      <c r="J243" s="69"/>
      <c r="K243" s="54"/>
      <c r="L243" s="13"/>
      <c r="M243" s="9"/>
      <c r="N243" s="9"/>
      <c r="O243" s="42"/>
      <c r="P243" s="52"/>
      <c r="Q243" s="54"/>
      <c r="S243" s="54"/>
      <c r="T243" s="41"/>
      <c r="V243" s="8"/>
      <c r="W243" s="90"/>
      <c r="X243" s="130"/>
      <c r="Z243" s="117"/>
      <c r="AA243" s="117">
        <f t="shared" si="43"/>
        <v>0</v>
      </c>
      <c r="AB243" s="117"/>
    </row>
    <row r="244" spans="1:28" ht="15" hidden="1" customHeight="1" x14ac:dyDescent="0.2">
      <c r="A244" s="91"/>
      <c r="B244" s="47"/>
      <c r="C244" s="47"/>
      <c r="D244" s="8"/>
      <c r="E244" s="8"/>
      <c r="F244" s="8"/>
      <c r="G244" s="8"/>
      <c r="H244" s="8"/>
      <c r="I244" s="14"/>
      <c r="J244" s="69"/>
      <c r="K244" s="54"/>
      <c r="L244" s="13"/>
      <c r="M244" s="9"/>
      <c r="N244" s="9"/>
      <c r="O244" s="42"/>
      <c r="P244" s="52"/>
      <c r="Q244" s="54"/>
      <c r="S244" s="54"/>
      <c r="T244" s="42"/>
      <c r="V244" s="8"/>
      <c r="W244" s="90"/>
      <c r="X244" s="130"/>
      <c r="Z244" s="117"/>
      <c r="AA244" s="117">
        <f t="shared" si="43"/>
        <v>0</v>
      </c>
      <c r="AB244" s="117"/>
    </row>
    <row r="245" spans="1:28" ht="15" hidden="1" customHeight="1" x14ac:dyDescent="0.2">
      <c r="A245" s="91"/>
      <c r="B245" s="47"/>
      <c r="C245" s="47"/>
      <c r="D245" s="8"/>
      <c r="E245" s="8"/>
      <c r="F245" s="8"/>
      <c r="G245" s="8"/>
      <c r="H245" s="8"/>
      <c r="I245" s="14"/>
      <c r="J245" s="69"/>
      <c r="K245" s="54"/>
      <c r="L245" s="13"/>
      <c r="M245" s="9"/>
      <c r="N245" s="9"/>
      <c r="O245" s="42"/>
      <c r="P245" s="52"/>
      <c r="Q245" s="54"/>
      <c r="S245" s="54"/>
      <c r="T245" s="42"/>
      <c r="V245" s="8"/>
      <c r="W245" s="90"/>
      <c r="X245" s="130"/>
      <c r="Z245" s="117"/>
      <c r="AA245" s="117">
        <f t="shared" si="43"/>
        <v>0</v>
      </c>
      <c r="AB245" s="117"/>
    </row>
    <row r="246" spans="1:28" ht="15" hidden="1" customHeight="1" x14ac:dyDescent="0.2">
      <c r="A246" s="91"/>
      <c r="B246" s="47"/>
      <c r="C246" s="47"/>
      <c r="D246" s="8"/>
      <c r="E246" s="8"/>
      <c r="F246" s="8"/>
      <c r="G246" s="8"/>
      <c r="H246" s="8"/>
      <c r="I246" s="14"/>
      <c r="J246" s="69"/>
      <c r="K246" s="54"/>
      <c r="L246" s="13"/>
      <c r="M246" s="9"/>
      <c r="N246" s="9"/>
      <c r="O246" s="42"/>
      <c r="P246" s="52"/>
      <c r="Q246" s="54"/>
      <c r="S246" s="54"/>
      <c r="T246" s="42"/>
      <c r="V246" s="8"/>
      <c r="W246" s="90"/>
      <c r="X246" s="130"/>
      <c r="Z246" s="117"/>
      <c r="AA246" s="117">
        <f t="shared" si="43"/>
        <v>0</v>
      </c>
      <c r="AB246" s="117"/>
    </row>
    <row r="247" spans="1:28" ht="15" hidden="1" customHeight="1" x14ac:dyDescent="0.2">
      <c r="A247" s="91"/>
      <c r="B247" s="47"/>
      <c r="C247" s="47"/>
      <c r="D247" s="8"/>
      <c r="E247" s="8"/>
      <c r="F247" s="8"/>
      <c r="G247" s="8"/>
      <c r="H247" s="8"/>
      <c r="I247" s="14"/>
      <c r="J247" s="69"/>
      <c r="K247" s="54"/>
      <c r="L247" s="13"/>
      <c r="M247" s="9"/>
      <c r="N247" s="9"/>
      <c r="O247" s="42"/>
      <c r="P247" s="52"/>
      <c r="Q247" s="54"/>
      <c r="S247" s="54"/>
      <c r="T247" s="42"/>
      <c r="V247" s="8"/>
      <c r="W247" s="90"/>
      <c r="X247" s="130"/>
      <c r="Z247" s="117"/>
      <c r="AA247" s="117">
        <f t="shared" si="43"/>
        <v>0</v>
      </c>
      <c r="AB247" s="117"/>
    </row>
    <row r="248" spans="1:28" ht="15" hidden="1" customHeight="1" x14ac:dyDescent="0.2">
      <c r="A248" s="91"/>
      <c r="B248" s="47"/>
      <c r="C248" s="47"/>
      <c r="D248" s="8"/>
      <c r="E248" s="8"/>
      <c r="F248" s="8"/>
      <c r="G248" s="8"/>
      <c r="H248" s="8"/>
      <c r="I248" s="14"/>
      <c r="J248" s="69"/>
      <c r="K248" s="54"/>
      <c r="L248" s="13"/>
      <c r="M248" s="9"/>
      <c r="N248" s="9"/>
      <c r="O248" s="42"/>
      <c r="P248" s="52"/>
      <c r="Q248" s="54"/>
      <c r="S248" s="54"/>
      <c r="T248" s="42"/>
      <c r="V248" s="8"/>
      <c r="W248" s="90"/>
      <c r="X248" s="130"/>
      <c r="Z248" s="117"/>
      <c r="AA248" s="117">
        <f t="shared" si="43"/>
        <v>0</v>
      </c>
      <c r="AB248" s="117"/>
    </row>
    <row r="249" spans="1:28" ht="15" hidden="1" customHeight="1" x14ac:dyDescent="0.2">
      <c r="A249" s="91"/>
      <c r="B249" s="47"/>
      <c r="C249" s="47"/>
      <c r="D249" s="8"/>
      <c r="E249" s="8"/>
      <c r="F249" s="8"/>
      <c r="G249" s="8"/>
      <c r="H249" s="8"/>
      <c r="I249" s="14"/>
      <c r="J249" s="69"/>
      <c r="K249" s="54"/>
      <c r="L249" s="13"/>
      <c r="M249" s="9"/>
      <c r="N249" s="9"/>
      <c r="O249" s="42"/>
      <c r="P249" s="52"/>
      <c r="Q249" s="54"/>
      <c r="S249" s="54"/>
      <c r="T249" s="42"/>
      <c r="V249" s="92"/>
      <c r="W249" s="90"/>
      <c r="X249" s="130"/>
      <c r="Z249" s="117"/>
      <c r="AA249" s="117">
        <f t="shared" si="43"/>
        <v>0</v>
      </c>
      <c r="AB249" s="117"/>
    </row>
    <row r="250" spans="1:28" ht="15" hidden="1" customHeight="1" x14ac:dyDescent="0.2">
      <c r="A250" s="91"/>
      <c r="B250" s="47"/>
      <c r="C250" s="47"/>
      <c r="D250" s="8"/>
      <c r="E250" s="8"/>
      <c r="F250" s="8"/>
      <c r="G250" s="8"/>
      <c r="H250" s="8"/>
      <c r="I250" s="14"/>
      <c r="J250" s="69"/>
      <c r="K250" s="54"/>
      <c r="L250" s="13"/>
      <c r="M250" s="9"/>
      <c r="N250" s="9"/>
      <c r="O250" s="42"/>
      <c r="P250" s="52"/>
      <c r="Q250" s="54"/>
      <c r="S250" s="54"/>
      <c r="T250" s="42"/>
      <c r="V250" s="8"/>
      <c r="W250" s="90"/>
      <c r="X250" s="130"/>
      <c r="Z250" s="117"/>
      <c r="AA250" s="117">
        <f t="shared" si="43"/>
        <v>0</v>
      </c>
      <c r="AB250" s="117"/>
    </row>
    <row r="251" spans="1:28" ht="15" hidden="1" customHeight="1" x14ac:dyDescent="0.2">
      <c r="A251" s="91"/>
      <c r="B251" s="47"/>
      <c r="C251" s="47"/>
      <c r="D251" s="8"/>
      <c r="E251" s="8"/>
      <c r="F251" s="8"/>
      <c r="G251" s="8"/>
      <c r="H251" s="8"/>
      <c r="I251" s="14"/>
      <c r="J251" s="69"/>
      <c r="K251" s="54"/>
      <c r="L251" s="13"/>
      <c r="M251" s="9"/>
      <c r="N251" s="9"/>
      <c r="O251" s="42"/>
      <c r="P251" s="52"/>
      <c r="Q251" s="54"/>
      <c r="S251" s="54"/>
      <c r="T251" s="42"/>
      <c r="V251" s="8"/>
      <c r="W251" s="90"/>
      <c r="X251" s="130"/>
      <c r="Z251" s="117"/>
      <c r="AA251" s="117">
        <f t="shared" si="43"/>
        <v>0</v>
      </c>
      <c r="AB251" s="117"/>
    </row>
    <row r="252" spans="1:28" ht="15" hidden="1" customHeight="1" x14ac:dyDescent="0.2">
      <c r="A252" s="91"/>
      <c r="B252" s="47"/>
      <c r="C252" s="47"/>
      <c r="D252" s="8"/>
      <c r="E252" s="8"/>
      <c r="F252" s="8"/>
      <c r="G252" s="8"/>
      <c r="H252" s="8"/>
      <c r="I252" s="14"/>
      <c r="J252" s="69"/>
      <c r="K252" s="54"/>
      <c r="L252" s="13"/>
      <c r="M252" s="9"/>
      <c r="N252" s="9"/>
      <c r="O252" s="42"/>
      <c r="P252" s="52"/>
      <c r="Q252" s="54"/>
      <c r="S252" s="54"/>
      <c r="T252" s="42"/>
      <c r="V252" s="8"/>
      <c r="W252" s="90"/>
      <c r="X252" s="130"/>
      <c r="Z252" s="117"/>
      <c r="AA252" s="117">
        <f t="shared" si="43"/>
        <v>0</v>
      </c>
      <c r="AB252" s="117"/>
    </row>
    <row r="253" spans="1:28" ht="15" hidden="1" customHeight="1" x14ac:dyDescent="0.2">
      <c r="A253" s="91"/>
      <c r="B253" s="47"/>
      <c r="C253" s="47"/>
      <c r="D253" s="8"/>
      <c r="E253" s="8"/>
      <c r="F253" s="8"/>
      <c r="G253" s="8"/>
      <c r="H253" s="8"/>
      <c r="I253" s="14"/>
      <c r="J253" s="69"/>
      <c r="K253" s="54"/>
      <c r="L253" s="13"/>
      <c r="M253" s="9"/>
      <c r="N253" s="9"/>
      <c r="O253" s="42"/>
      <c r="P253" s="52"/>
      <c r="Q253" s="54"/>
      <c r="S253" s="54"/>
      <c r="T253" s="42"/>
      <c r="V253" s="8"/>
      <c r="W253" s="90"/>
      <c r="X253" s="130"/>
      <c r="Z253" s="117"/>
      <c r="AA253" s="117">
        <f t="shared" si="43"/>
        <v>0</v>
      </c>
      <c r="AB253" s="117"/>
    </row>
    <row r="254" spans="1:28" ht="15" hidden="1" customHeight="1" x14ac:dyDescent="0.2">
      <c r="A254" s="91"/>
      <c r="B254" s="47"/>
      <c r="C254" s="47"/>
      <c r="D254" s="8"/>
      <c r="E254" s="8"/>
      <c r="F254" s="8"/>
      <c r="G254" s="8"/>
      <c r="H254" s="8"/>
      <c r="I254" s="14"/>
      <c r="J254" s="69"/>
      <c r="K254" s="54"/>
      <c r="L254" s="13"/>
      <c r="M254" s="9"/>
      <c r="N254" s="9"/>
      <c r="O254" s="42"/>
      <c r="P254" s="52"/>
      <c r="Q254" s="54"/>
      <c r="S254" s="54"/>
      <c r="T254" s="41"/>
      <c r="V254" s="8"/>
      <c r="W254" s="90"/>
      <c r="X254" s="130"/>
      <c r="Z254" s="117"/>
      <c r="AA254" s="117">
        <f t="shared" si="43"/>
        <v>0</v>
      </c>
      <c r="AB254" s="117"/>
    </row>
    <row r="255" spans="1:28" ht="15" hidden="1" customHeight="1" x14ac:dyDescent="0.2">
      <c r="A255" s="91"/>
      <c r="B255" s="47"/>
      <c r="C255" s="47"/>
      <c r="D255" s="8"/>
      <c r="E255" s="8"/>
      <c r="F255" s="8"/>
      <c r="G255" s="8"/>
      <c r="H255" s="8"/>
      <c r="I255" s="14"/>
      <c r="J255" s="69"/>
      <c r="K255" s="54"/>
      <c r="L255" s="13"/>
      <c r="M255" s="9"/>
      <c r="N255" s="9"/>
      <c r="O255" s="42"/>
      <c r="P255" s="52"/>
      <c r="Q255" s="54"/>
      <c r="S255" s="54"/>
      <c r="T255" s="42"/>
      <c r="V255" s="8"/>
      <c r="W255" s="90"/>
      <c r="X255" s="130"/>
      <c r="Z255" s="117"/>
      <c r="AA255" s="117">
        <f t="shared" si="43"/>
        <v>0</v>
      </c>
      <c r="AB255" s="117"/>
    </row>
    <row r="256" spans="1:28" ht="15" hidden="1" customHeight="1" x14ac:dyDescent="0.2">
      <c r="A256" s="91"/>
      <c r="B256" s="47"/>
      <c r="C256" s="47"/>
      <c r="D256" s="8"/>
      <c r="E256" s="8"/>
      <c r="F256" s="8"/>
      <c r="G256" s="8"/>
      <c r="H256" s="8"/>
      <c r="I256" s="14"/>
      <c r="J256" s="69"/>
      <c r="K256" s="54"/>
      <c r="L256" s="13"/>
      <c r="M256" s="9"/>
      <c r="N256" s="9"/>
      <c r="O256" s="42"/>
      <c r="P256" s="52"/>
      <c r="Q256" s="54"/>
      <c r="S256" s="54"/>
      <c r="T256" s="42"/>
      <c r="V256" s="8"/>
      <c r="W256" s="90"/>
      <c r="X256" s="130"/>
      <c r="Z256" s="117"/>
      <c r="AA256" s="117">
        <f t="shared" si="43"/>
        <v>0</v>
      </c>
      <c r="AB256" s="117"/>
    </row>
    <row r="257" spans="1:28" ht="15" hidden="1" customHeight="1" x14ac:dyDescent="0.2">
      <c r="A257" s="91"/>
      <c r="B257" s="47"/>
      <c r="C257" s="47"/>
      <c r="D257" s="8"/>
      <c r="E257" s="8"/>
      <c r="F257" s="8"/>
      <c r="G257" s="8"/>
      <c r="H257" s="8"/>
      <c r="I257" s="14"/>
      <c r="J257" s="69"/>
      <c r="K257" s="54"/>
      <c r="L257" s="13"/>
      <c r="M257" s="9"/>
      <c r="N257" s="9"/>
      <c r="O257" s="42"/>
      <c r="P257" s="52"/>
      <c r="Q257" s="54"/>
      <c r="S257" s="54"/>
      <c r="T257" s="42"/>
      <c r="V257" s="92"/>
      <c r="W257" s="90"/>
      <c r="X257" s="130"/>
      <c r="Z257" s="117"/>
      <c r="AA257" s="117">
        <f t="shared" si="43"/>
        <v>0</v>
      </c>
      <c r="AB257" s="117"/>
    </row>
    <row r="258" spans="1:28" ht="15" hidden="1" customHeight="1" x14ac:dyDescent="0.2">
      <c r="A258" s="91"/>
      <c r="B258" s="47"/>
      <c r="C258" s="47"/>
      <c r="D258" s="8"/>
      <c r="E258" s="8"/>
      <c r="F258" s="8"/>
      <c r="G258" s="8"/>
      <c r="H258" s="8"/>
      <c r="I258" s="14"/>
      <c r="J258" s="69"/>
      <c r="K258" s="54"/>
      <c r="L258" s="13"/>
      <c r="M258" s="9"/>
      <c r="N258" s="9"/>
      <c r="O258" s="42"/>
      <c r="P258" s="52"/>
      <c r="Q258" s="54"/>
      <c r="S258" s="54"/>
      <c r="T258" s="42"/>
      <c r="V258" s="8"/>
      <c r="W258" s="90"/>
      <c r="X258" s="130"/>
      <c r="Z258" s="117"/>
      <c r="AA258" s="117">
        <f t="shared" si="43"/>
        <v>0</v>
      </c>
      <c r="AB258" s="117"/>
    </row>
    <row r="259" spans="1:28" ht="15" hidden="1" customHeight="1" x14ac:dyDescent="0.2">
      <c r="A259" s="91"/>
      <c r="B259" s="47"/>
      <c r="C259" s="47"/>
      <c r="D259" s="8"/>
      <c r="E259" s="8"/>
      <c r="F259" s="8"/>
      <c r="G259" s="8"/>
      <c r="H259" s="8"/>
      <c r="I259" s="14"/>
      <c r="J259" s="69"/>
      <c r="K259" s="54"/>
      <c r="L259" s="13"/>
      <c r="M259" s="9"/>
      <c r="N259" s="9"/>
      <c r="O259" s="42"/>
      <c r="P259" s="52"/>
      <c r="Q259" s="54"/>
      <c r="S259" s="54"/>
      <c r="T259" s="42"/>
      <c r="V259" s="8"/>
      <c r="W259" s="90"/>
      <c r="X259" s="130"/>
      <c r="Z259" s="117"/>
      <c r="AA259" s="117">
        <f t="shared" si="43"/>
        <v>0</v>
      </c>
      <c r="AB259" s="117"/>
    </row>
    <row r="260" spans="1:28" ht="15" hidden="1" customHeight="1" x14ac:dyDescent="0.2">
      <c r="A260" s="91"/>
      <c r="B260" s="47"/>
      <c r="C260" s="47"/>
      <c r="D260" s="8"/>
      <c r="E260" s="8"/>
      <c r="F260" s="8"/>
      <c r="G260" s="8"/>
      <c r="H260" s="8"/>
      <c r="I260" s="14"/>
      <c r="J260" s="69"/>
      <c r="K260" s="54"/>
      <c r="L260" s="13"/>
      <c r="M260" s="9"/>
      <c r="N260" s="9"/>
      <c r="O260" s="42"/>
      <c r="P260" s="52"/>
      <c r="Q260" s="54"/>
      <c r="S260" s="54"/>
      <c r="T260" s="42"/>
      <c r="V260" s="8"/>
      <c r="W260" s="90"/>
      <c r="X260" s="130"/>
      <c r="Z260" s="117"/>
      <c r="AA260" s="117">
        <f t="shared" si="43"/>
        <v>0</v>
      </c>
      <c r="AB260" s="117"/>
    </row>
    <row r="261" spans="1:28" ht="15" hidden="1" customHeight="1" x14ac:dyDescent="0.2">
      <c r="A261" s="91"/>
      <c r="B261" s="47"/>
      <c r="C261" s="47"/>
      <c r="D261" s="8"/>
      <c r="E261" s="8"/>
      <c r="F261" s="8"/>
      <c r="G261" s="8"/>
      <c r="H261" s="8"/>
      <c r="I261" s="14"/>
      <c r="J261" s="69"/>
      <c r="K261" s="54"/>
      <c r="L261" s="13"/>
      <c r="M261" s="9"/>
      <c r="N261" s="9"/>
      <c r="O261" s="42"/>
      <c r="P261" s="52"/>
      <c r="Q261" s="54"/>
      <c r="S261" s="54"/>
      <c r="T261" s="42"/>
      <c r="V261" s="8"/>
      <c r="W261" s="90"/>
      <c r="X261" s="130"/>
      <c r="Z261" s="117"/>
      <c r="AA261" s="117">
        <f t="shared" si="43"/>
        <v>0</v>
      </c>
      <c r="AB261" s="117"/>
    </row>
    <row r="262" spans="1:28" ht="15" hidden="1" customHeight="1" x14ac:dyDescent="0.2">
      <c r="A262" s="91"/>
      <c r="B262" s="47"/>
      <c r="C262" s="47"/>
      <c r="D262" s="8"/>
      <c r="E262" s="8"/>
      <c r="F262" s="8"/>
      <c r="G262" s="8"/>
      <c r="H262" s="8"/>
      <c r="I262" s="14"/>
      <c r="J262" s="69"/>
      <c r="K262" s="54"/>
      <c r="L262" s="13"/>
      <c r="M262" s="9"/>
      <c r="N262" s="9"/>
      <c r="O262" s="42"/>
      <c r="P262" s="52"/>
      <c r="Q262" s="54"/>
      <c r="S262" s="54"/>
      <c r="T262" s="42"/>
      <c r="V262" s="8"/>
      <c r="W262" s="90"/>
      <c r="X262" s="130"/>
      <c r="Z262" s="117"/>
      <c r="AA262" s="117">
        <f t="shared" si="43"/>
        <v>0</v>
      </c>
      <c r="AB262" s="117"/>
    </row>
    <row r="263" spans="1:28" ht="15" hidden="1" customHeight="1" x14ac:dyDescent="0.2">
      <c r="A263" s="91"/>
      <c r="B263" s="47"/>
      <c r="C263" s="47"/>
      <c r="D263" s="8"/>
      <c r="E263" s="8"/>
      <c r="F263" s="8"/>
      <c r="G263" s="8"/>
      <c r="H263" s="8"/>
      <c r="I263" s="14"/>
      <c r="J263" s="69"/>
      <c r="K263" s="54"/>
      <c r="L263" s="13"/>
      <c r="M263" s="9"/>
      <c r="N263" s="9"/>
      <c r="O263" s="42"/>
      <c r="P263" s="52"/>
      <c r="Q263" s="54"/>
      <c r="S263" s="54"/>
      <c r="T263" s="42"/>
      <c r="V263" s="8"/>
      <c r="W263" s="90"/>
      <c r="X263" s="130"/>
      <c r="Z263" s="117"/>
      <c r="AA263" s="117">
        <f t="shared" si="43"/>
        <v>0</v>
      </c>
      <c r="AB263" s="117"/>
    </row>
    <row r="264" spans="1:28" ht="15" hidden="1" customHeight="1" x14ac:dyDescent="0.2">
      <c r="A264" s="91"/>
      <c r="B264" s="47"/>
      <c r="C264" s="47"/>
      <c r="D264" s="8"/>
      <c r="E264" s="8"/>
      <c r="F264" s="8"/>
      <c r="G264" s="8"/>
      <c r="H264" s="8"/>
      <c r="I264" s="14"/>
      <c r="J264" s="69"/>
      <c r="K264" s="54"/>
      <c r="L264" s="13"/>
      <c r="M264" s="9"/>
      <c r="N264" s="9"/>
      <c r="O264" s="42"/>
      <c r="P264" s="52"/>
      <c r="Q264" s="54"/>
      <c r="S264" s="54"/>
      <c r="T264" s="42"/>
      <c r="V264" s="8"/>
      <c r="W264" s="90"/>
      <c r="X264" s="130"/>
      <c r="Z264" s="117"/>
      <c r="AA264" s="117">
        <f t="shared" si="43"/>
        <v>0</v>
      </c>
      <c r="AB264" s="117"/>
    </row>
    <row r="265" spans="1:28" ht="15" hidden="1" customHeight="1" x14ac:dyDescent="0.2">
      <c r="A265" s="91"/>
      <c r="B265" s="47"/>
      <c r="C265" s="47"/>
      <c r="D265" s="8"/>
      <c r="E265" s="8"/>
      <c r="F265" s="8"/>
      <c r="G265" s="8"/>
      <c r="H265" s="8"/>
      <c r="I265" s="14"/>
      <c r="J265" s="69"/>
      <c r="K265" s="54"/>
      <c r="L265" s="13"/>
      <c r="M265" s="9"/>
      <c r="N265" s="9"/>
      <c r="O265" s="42"/>
      <c r="P265" s="52"/>
      <c r="Q265" s="54"/>
      <c r="S265" s="54"/>
      <c r="T265" s="41"/>
      <c r="V265" s="92"/>
      <c r="W265" s="90"/>
      <c r="X265" s="130"/>
      <c r="Z265" s="117"/>
      <c r="AA265" s="117">
        <f t="shared" si="43"/>
        <v>0</v>
      </c>
      <c r="AB265" s="117"/>
    </row>
    <row r="266" spans="1:28" ht="15" hidden="1" customHeight="1" x14ac:dyDescent="0.2">
      <c r="A266" s="91"/>
      <c r="B266" s="47"/>
      <c r="C266" s="47"/>
      <c r="D266" s="8"/>
      <c r="E266" s="8"/>
      <c r="F266" s="8"/>
      <c r="G266" s="8"/>
      <c r="H266" s="8"/>
      <c r="I266" s="14"/>
      <c r="J266" s="69"/>
      <c r="K266" s="54"/>
      <c r="L266" s="13"/>
      <c r="M266" s="9"/>
      <c r="N266" s="9"/>
      <c r="O266" s="42"/>
      <c r="P266" s="52"/>
      <c r="Q266" s="54"/>
      <c r="S266" s="54"/>
      <c r="T266" s="42"/>
      <c r="V266" s="8"/>
      <c r="W266" s="90"/>
      <c r="X266" s="130"/>
      <c r="Z266" s="117"/>
      <c r="AA266" s="117">
        <f t="shared" si="43"/>
        <v>0</v>
      </c>
      <c r="AB266" s="117"/>
    </row>
    <row r="267" spans="1:28" ht="15" hidden="1" customHeight="1" x14ac:dyDescent="0.2">
      <c r="A267" s="91"/>
      <c r="B267" s="47"/>
      <c r="C267" s="47"/>
      <c r="D267" s="8"/>
      <c r="E267" s="8"/>
      <c r="F267" s="8"/>
      <c r="G267" s="8"/>
      <c r="H267" s="8"/>
      <c r="I267" s="14"/>
      <c r="J267" s="69"/>
      <c r="K267" s="54"/>
      <c r="L267" s="13"/>
      <c r="M267" s="9"/>
      <c r="N267" s="9"/>
      <c r="O267" s="42"/>
      <c r="P267" s="52"/>
      <c r="Q267" s="54"/>
      <c r="S267" s="54"/>
      <c r="T267" s="42"/>
      <c r="V267" s="8"/>
      <c r="W267" s="90"/>
      <c r="X267" s="130"/>
      <c r="Z267" s="117"/>
      <c r="AA267" s="117">
        <f t="shared" si="43"/>
        <v>0</v>
      </c>
      <c r="AB267" s="117"/>
    </row>
    <row r="268" spans="1:28" ht="15" hidden="1" customHeight="1" x14ac:dyDescent="0.2">
      <c r="A268" s="91"/>
      <c r="B268" s="47"/>
      <c r="C268" s="47"/>
      <c r="D268" s="8"/>
      <c r="E268" s="8"/>
      <c r="F268" s="8"/>
      <c r="G268" s="8"/>
      <c r="H268" s="8"/>
      <c r="I268" s="14"/>
      <c r="J268" s="69"/>
      <c r="K268" s="54"/>
      <c r="L268" s="13"/>
      <c r="M268" s="9"/>
      <c r="N268" s="9"/>
      <c r="O268" s="42"/>
      <c r="P268" s="52"/>
      <c r="Q268" s="54"/>
      <c r="S268" s="54"/>
      <c r="T268" s="42"/>
      <c r="V268" s="8"/>
      <c r="W268" s="90"/>
      <c r="X268" s="130"/>
      <c r="Z268" s="117"/>
      <c r="AA268" s="117">
        <f t="shared" ref="AA268" si="44">X268*M268</f>
        <v>0</v>
      </c>
      <c r="AB268" s="117"/>
    </row>
  </sheetData>
  <autoFilter ref="A2:Z268">
    <filterColumn colId="0">
      <filters>
        <filter val="1"/>
      </filters>
    </filterColumn>
  </autoFilter>
  <mergeCells count="2">
    <mergeCell ref="D1:I1"/>
    <mergeCell ref="V1:W1"/>
  </mergeCells>
  <conditionalFormatting sqref="Y3:Y225">
    <cfRule type="cellIs" dxfId="4" priority="10" stopIfTrue="1" operator="lessThan">
      <formula>0</formula>
    </cfRule>
    <cfRule type="cellIs" dxfId="3" priority="11" stopIfTrue="1" operator="equal">
      <formula>0</formula>
    </cfRule>
  </conditionalFormatting>
  <conditionalFormatting sqref="Q3:Q225">
    <cfRule type="containsText" dxfId="2" priority="8" stopIfTrue="1" operator="containsText" text="z - Cancelled">
      <formula>NOT(ISERROR(SEARCH("z - Cancelled",Q3)))</formula>
    </cfRule>
    <cfRule type="notContainsText" dxfId="1" priority="9" stopIfTrue="1" operator="notContains" text="0 - Unallocated">
      <formula>ISERROR(SEARCH("0 - Unallocated",Q3))</formula>
    </cfRule>
  </conditionalFormatting>
  <conditionalFormatting sqref="A3:A205">
    <cfRule type="cellIs" dxfId="0" priority="7" stopIfTrue="1" operator="notEqual">
      <formula>1</formula>
    </cfRule>
  </conditionalFormatting>
  <dataValidations count="1">
    <dataValidation type="list" allowBlank="1" showInputMessage="1" showErrorMessage="1" sqref="Q3:Q225">
      <formula1>Staff</formula1>
    </dataValidation>
  </dataValidations>
  <pageMargins left="0.7" right="0.7" top="0.75" bottom="0.75" header="0.3" footer="0.3"/>
  <pageSetup paperSize="8" scale="22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80"/>
  <sheetViews>
    <sheetView workbookViewId="0">
      <selection activeCell="H10" sqref="H10"/>
    </sheetView>
  </sheetViews>
  <sheetFormatPr baseColWidth="10" defaultColWidth="8.83203125" defaultRowHeight="15" x14ac:dyDescent="0.2"/>
  <cols>
    <col min="2" max="2" width="44" customWidth="1"/>
    <col min="6" max="6" width="11.5" customWidth="1"/>
    <col min="8" max="8" width="21.5" customWidth="1"/>
    <col min="9" max="9" width="19" bestFit="1" customWidth="1"/>
    <col min="10" max="10" width="24.33203125" customWidth="1"/>
  </cols>
  <sheetData>
    <row r="1" spans="1:10" ht="69" customHeight="1" x14ac:dyDescent="0.2">
      <c r="A1" s="165" t="s">
        <v>398</v>
      </c>
      <c r="B1" s="165"/>
      <c r="C1" s="165"/>
      <c r="D1" s="165"/>
      <c r="E1" s="165"/>
      <c r="F1" s="165"/>
      <c r="G1" s="165"/>
      <c r="H1" s="165"/>
      <c r="I1" s="165"/>
      <c r="J1" s="165"/>
    </row>
    <row r="3" spans="1:10" x14ac:dyDescent="0.2">
      <c r="A3" t="s">
        <v>89</v>
      </c>
      <c r="B3" t="s">
        <v>372</v>
      </c>
      <c r="C3" t="s">
        <v>373</v>
      </c>
      <c r="D3" t="s">
        <v>93</v>
      </c>
      <c r="E3" t="s">
        <v>91</v>
      </c>
      <c r="F3" t="s">
        <v>97</v>
      </c>
      <c r="G3" t="s">
        <v>374</v>
      </c>
      <c r="H3" s="135" t="s">
        <v>375</v>
      </c>
      <c r="I3" s="135" t="s">
        <v>376</v>
      </c>
      <c r="J3" t="s">
        <v>361</v>
      </c>
    </row>
    <row r="4" spans="1:10" x14ac:dyDescent="0.2">
      <c r="H4" s="135" t="s">
        <v>378</v>
      </c>
      <c r="I4" s="135" t="s">
        <v>379</v>
      </c>
      <c r="J4" t="s">
        <v>380</v>
      </c>
    </row>
    <row r="5" spans="1:10" x14ac:dyDescent="0.2">
      <c r="A5" t="s">
        <v>98</v>
      </c>
      <c r="B5" t="s">
        <v>103</v>
      </c>
      <c r="C5" t="s">
        <v>99</v>
      </c>
      <c r="D5" t="s">
        <v>100</v>
      </c>
      <c r="E5" t="s">
        <v>87</v>
      </c>
      <c r="F5" t="s">
        <v>260</v>
      </c>
      <c r="G5">
        <v>1</v>
      </c>
      <c r="H5" s="54"/>
      <c r="I5" s="54"/>
      <c r="J5" s="9">
        <f>IF(I5="Staff",LOOKUP(F5,'Pattern lookup'!$A$4:$A$29,'Pattern lookup'!$D$4:$D$17),0)</f>
        <v>0</v>
      </c>
    </row>
    <row r="6" spans="1:10" x14ac:dyDescent="0.2">
      <c r="A6" t="s">
        <v>98</v>
      </c>
      <c r="B6" t="s">
        <v>103</v>
      </c>
      <c r="C6" t="s">
        <v>99</v>
      </c>
      <c r="D6" t="s">
        <v>100</v>
      </c>
      <c r="E6" t="s">
        <v>87</v>
      </c>
      <c r="F6" t="s">
        <v>260</v>
      </c>
      <c r="G6">
        <v>2</v>
      </c>
      <c r="H6" s="54"/>
      <c r="I6" s="54"/>
      <c r="J6" s="9">
        <f>IF(I6="Staff",LOOKUP(F6,'Pattern lookup'!$A$4:$A$29,'Pattern lookup'!$D$4:$D$17),0)</f>
        <v>0</v>
      </c>
    </row>
    <row r="7" spans="1:10" x14ac:dyDescent="0.2">
      <c r="A7" t="s">
        <v>98</v>
      </c>
      <c r="B7" t="s">
        <v>103</v>
      </c>
      <c r="C7" t="s">
        <v>99</v>
      </c>
      <c r="D7" t="s">
        <v>100</v>
      </c>
      <c r="E7" t="s">
        <v>87</v>
      </c>
      <c r="F7" t="s">
        <v>260</v>
      </c>
      <c r="G7">
        <v>3</v>
      </c>
      <c r="H7" s="54"/>
      <c r="I7" s="54"/>
      <c r="J7" s="9">
        <f>IF(I7="Staff",LOOKUP(F7,'Pattern lookup'!$A$4:$A$29,'Pattern lookup'!$D$4:$D$17),0)</f>
        <v>0</v>
      </c>
    </row>
    <row r="8" spans="1:10" x14ac:dyDescent="0.2">
      <c r="A8" t="s">
        <v>98</v>
      </c>
      <c r="B8" t="s">
        <v>103</v>
      </c>
      <c r="C8" t="s">
        <v>99</v>
      </c>
      <c r="D8" t="s">
        <v>100</v>
      </c>
      <c r="E8" t="s">
        <v>87</v>
      </c>
      <c r="F8" t="s">
        <v>260</v>
      </c>
      <c r="G8">
        <v>4</v>
      </c>
      <c r="H8" s="54"/>
      <c r="I8" s="54"/>
      <c r="J8" s="9">
        <f>IF(I8="Staff",LOOKUP(F8,'Pattern lookup'!$A$4:$A$29,'Pattern lookup'!$D$4:$D$17),0)</f>
        <v>0</v>
      </c>
    </row>
    <row r="9" spans="1:10" x14ac:dyDescent="0.2">
      <c r="A9" t="s">
        <v>98</v>
      </c>
      <c r="B9" t="s">
        <v>103</v>
      </c>
      <c r="C9" t="s">
        <v>99</v>
      </c>
      <c r="D9" t="s">
        <v>100</v>
      </c>
      <c r="E9" t="s">
        <v>87</v>
      </c>
      <c r="F9" t="s">
        <v>260</v>
      </c>
      <c r="G9">
        <v>5</v>
      </c>
      <c r="H9" s="54"/>
      <c r="I9" s="54"/>
      <c r="J9" s="9">
        <f>IF(I9="Staff",LOOKUP(F9,'Pattern lookup'!$A$4:$A$29,'Pattern lookup'!$D$4:$D$17),0)</f>
        <v>0</v>
      </c>
    </row>
    <row r="10" spans="1:10" x14ac:dyDescent="0.2">
      <c r="A10" t="s">
        <v>98</v>
      </c>
      <c r="B10" t="s">
        <v>103</v>
      </c>
      <c r="C10" t="s">
        <v>99</v>
      </c>
      <c r="D10" t="s">
        <v>100</v>
      </c>
      <c r="E10" t="s">
        <v>88</v>
      </c>
      <c r="F10" t="s">
        <v>48</v>
      </c>
      <c r="G10">
        <v>1</v>
      </c>
      <c r="H10" s="54"/>
      <c r="I10" s="54"/>
      <c r="J10" s="9">
        <f>IF(I10="Staff",LOOKUP(F10,'Pattern lookup'!$A$4:$A$29,'Pattern lookup'!$D$4:$D$17),0)</f>
        <v>0</v>
      </c>
    </row>
    <row r="11" spans="1:10" x14ac:dyDescent="0.2">
      <c r="A11" t="s">
        <v>121</v>
      </c>
      <c r="B11" t="s">
        <v>122</v>
      </c>
      <c r="C11" t="s">
        <v>108</v>
      </c>
      <c r="D11" t="s">
        <v>100</v>
      </c>
      <c r="E11" t="s">
        <v>87</v>
      </c>
      <c r="F11" t="s">
        <v>260</v>
      </c>
      <c r="G11">
        <v>1</v>
      </c>
      <c r="H11" s="54"/>
      <c r="I11" s="54"/>
      <c r="J11" s="9">
        <f>IF(I11="Staff",LOOKUP(F11,'Pattern lookup'!$A$4:$A$29,'Pattern lookup'!$D$4:$D$17),0)</f>
        <v>0</v>
      </c>
    </row>
    <row r="12" spans="1:10" x14ac:dyDescent="0.2">
      <c r="A12" t="s">
        <v>121</v>
      </c>
      <c r="B12" t="s">
        <v>122</v>
      </c>
      <c r="C12" t="s">
        <v>108</v>
      </c>
      <c r="D12" t="s">
        <v>100</v>
      </c>
      <c r="E12" t="s">
        <v>87</v>
      </c>
      <c r="F12" t="s">
        <v>260</v>
      </c>
      <c r="G12">
        <v>2</v>
      </c>
      <c r="H12" s="54"/>
      <c r="I12" s="54"/>
      <c r="J12" s="9">
        <f>IF(I12="Staff",LOOKUP(F12,'Pattern lookup'!$A$4:$A$29,'Pattern lookup'!$D$4:$D$17),0)</f>
        <v>0</v>
      </c>
    </row>
    <row r="13" spans="1:10" x14ac:dyDescent="0.2">
      <c r="A13" t="s">
        <v>121</v>
      </c>
      <c r="B13" t="s">
        <v>122</v>
      </c>
      <c r="C13" t="s">
        <v>108</v>
      </c>
      <c r="D13" t="s">
        <v>100</v>
      </c>
      <c r="E13" t="s">
        <v>87</v>
      </c>
      <c r="F13" t="s">
        <v>260</v>
      </c>
      <c r="G13">
        <v>3</v>
      </c>
      <c r="H13" s="54"/>
      <c r="I13" s="54"/>
      <c r="J13" s="9">
        <f>IF(I13="Staff",LOOKUP(F13,'Pattern lookup'!$A$4:$A$29,'Pattern lookup'!$D$4:$D$17),0)</f>
        <v>0</v>
      </c>
    </row>
    <row r="14" spans="1:10" x14ac:dyDescent="0.2">
      <c r="A14" t="s">
        <v>121</v>
      </c>
      <c r="B14" t="s">
        <v>122</v>
      </c>
      <c r="C14" t="s">
        <v>108</v>
      </c>
      <c r="D14" t="s">
        <v>100</v>
      </c>
      <c r="E14" t="s">
        <v>87</v>
      </c>
      <c r="F14" t="s">
        <v>260</v>
      </c>
      <c r="G14">
        <v>4</v>
      </c>
      <c r="H14" s="54"/>
      <c r="I14" s="54"/>
      <c r="J14" s="9">
        <f>IF(I14="Staff",LOOKUP(F14,'Pattern lookup'!$A$4:$A$29,'Pattern lookup'!$D$4:$D$17),0)</f>
        <v>0</v>
      </c>
    </row>
    <row r="15" spans="1:10" x14ac:dyDescent="0.2">
      <c r="A15" t="s">
        <v>121</v>
      </c>
      <c r="B15" t="s">
        <v>122</v>
      </c>
      <c r="C15" t="s">
        <v>108</v>
      </c>
      <c r="D15" t="s">
        <v>100</v>
      </c>
      <c r="E15" t="s">
        <v>87</v>
      </c>
      <c r="F15" t="s">
        <v>260</v>
      </c>
      <c r="G15">
        <v>5</v>
      </c>
      <c r="H15" s="54"/>
      <c r="I15" s="54"/>
      <c r="J15" s="9">
        <f>IF(I15="Staff",LOOKUP(F15,'Pattern lookup'!$A$4:$A$29,'Pattern lookup'!$D$4:$D$17),0)</f>
        <v>0</v>
      </c>
    </row>
    <row r="16" spans="1:10" x14ac:dyDescent="0.2">
      <c r="A16" t="s">
        <v>121</v>
      </c>
      <c r="B16" t="s">
        <v>122</v>
      </c>
      <c r="C16" t="s">
        <v>108</v>
      </c>
      <c r="D16" t="s">
        <v>100</v>
      </c>
      <c r="E16" t="s">
        <v>87</v>
      </c>
      <c r="F16" t="s">
        <v>260</v>
      </c>
      <c r="G16">
        <v>6</v>
      </c>
      <c r="H16" s="54"/>
      <c r="I16" s="54"/>
      <c r="J16" s="9">
        <f>IF(I16="Staff",LOOKUP(F16,'Pattern lookup'!$A$4:$A$29,'Pattern lookup'!$D$4:$D$17),0)</f>
        <v>0</v>
      </c>
    </row>
    <row r="17" spans="1:10" x14ac:dyDescent="0.2">
      <c r="A17" t="s">
        <v>121</v>
      </c>
      <c r="B17" t="s">
        <v>122</v>
      </c>
      <c r="C17" t="s">
        <v>108</v>
      </c>
      <c r="D17" t="s">
        <v>100</v>
      </c>
      <c r="E17" t="s">
        <v>87</v>
      </c>
      <c r="F17" t="s">
        <v>260</v>
      </c>
      <c r="G17">
        <v>7</v>
      </c>
      <c r="H17" s="54"/>
      <c r="I17" s="54"/>
      <c r="J17" s="9">
        <f>IF(I17="Staff",LOOKUP(F17,'Pattern lookup'!$A$4:$A$29,'Pattern lookup'!$D$4:$D$17),0)</f>
        <v>0</v>
      </c>
    </row>
    <row r="18" spans="1:10" x14ac:dyDescent="0.2">
      <c r="A18" t="s">
        <v>121</v>
      </c>
      <c r="B18" t="s">
        <v>122</v>
      </c>
      <c r="C18" t="s">
        <v>108</v>
      </c>
      <c r="D18" t="s">
        <v>100</v>
      </c>
      <c r="E18" t="s">
        <v>88</v>
      </c>
      <c r="F18" t="s">
        <v>48</v>
      </c>
      <c r="G18">
        <v>1</v>
      </c>
      <c r="H18" s="54"/>
      <c r="I18" s="54"/>
      <c r="J18" s="9">
        <f>IF(I18="Staff",LOOKUP(F18,'Pattern lookup'!$A$4:$A$29,'Pattern lookup'!$D$4:$D$17),0)</f>
        <v>0</v>
      </c>
    </row>
    <row r="19" spans="1:10" x14ac:dyDescent="0.2">
      <c r="A19" t="s">
        <v>121</v>
      </c>
      <c r="B19" t="s">
        <v>122</v>
      </c>
      <c r="C19" t="s">
        <v>108</v>
      </c>
      <c r="D19" t="s">
        <v>100</v>
      </c>
      <c r="E19" t="s">
        <v>88</v>
      </c>
      <c r="F19" t="s">
        <v>48</v>
      </c>
      <c r="G19">
        <v>2</v>
      </c>
      <c r="H19" s="54"/>
      <c r="I19" s="54"/>
      <c r="J19" s="9">
        <f>IF(I19="Staff",LOOKUP(F19,'Pattern lookup'!$A$4:$A$29,'Pattern lookup'!$D$4:$D$17),0)</f>
        <v>0</v>
      </c>
    </row>
    <row r="20" spans="1:10" x14ac:dyDescent="0.2">
      <c r="A20" t="s">
        <v>121</v>
      </c>
      <c r="B20" t="s">
        <v>122</v>
      </c>
      <c r="C20" t="s">
        <v>99</v>
      </c>
      <c r="D20" t="s">
        <v>100</v>
      </c>
      <c r="E20" t="s">
        <v>87</v>
      </c>
      <c r="F20" t="s">
        <v>110</v>
      </c>
      <c r="G20">
        <v>1</v>
      </c>
      <c r="H20" s="54"/>
      <c r="I20" s="54"/>
      <c r="J20" s="9">
        <f>IF(I20="Staff",LOOKUP(F20,'Pattern lookup'!$A$4:$A$29,'Pattern lookup'!$D$4:$D$17),0)</f>
        <v>0</v>
      </c>
    </row>
    <row r="21" spans="1:10" x14ac:dyDescent="0.2">
      <c r="A21" t="s">
        <v>121</v>
      </c>
      <c r="B21" t="s">
        <v>122</v>
      </c>
      <c r="C21" t="s">
        <v>99</v>
      </c>
      <c r="D21" t="s">
        <v>100</v>
      </c>
      <c r="E21" t="s">
        <v>87</v>
      </c>
      <c r="F21" t="s">
        <v>110</v>
      </c>
      <c r="G21">
        <v>2</v>
      </c>
      <c r="H21" s="54"/>
      <c r="I21" s="54"/>
      <c r="J21" s="9">
        <f>IF(I21="Staff",LOOKUP(F21,'Pattern lookup'!$A$4:$A$29,'Pattern lookup'!$D$4:$D$17),0)</f>
        <v>0</v>
      </c>
    </row>
    <row r="22" spans="1:10" x14ac:dyDescent="0.2">
      <c r="A22" t="s">
        <v>121</v>
      </c>
      <c r="B22" t="s">
        <v>122</v>
      </c>
      <c r="C22" t="s">
        <v>99</v>
      </c>
      <c r="D22" t="s">
        <v>100</v>
      </c>
      <c r="E22" t="s">
        <v>87</v>
      </c>
      <c r="F22" t="s">
        <v>110</v>
      </c>
      <c r="G22">
        <v>3</v>
      </c>
      <c r="H22" s="54"/>
      <c r="I22" s="54"/>
      <c r="J22" s="9">
        <f>IF(I22="Staff",LOOKUP(F22,'Pattern lookup'!$A$4:$A$29,'Pattern lookup'!$D$4:$D$17),0)</f>
        <v>0</v>
      </c>
    </row>
    <row r="23" spans="1:10" x14ac:dyDescent="0.2">
      <c r="A23" t="s">
        <v>121</v>
      </c>
      <c r="B23" t="s">
        <v>122</v>
      </c>
      <c r="C23" t="s">
        <v>99</v>
      </c>
      <c r="D23" t="s">
        <v>100</v>
      </c>
      <c r="E23" t="s">
        <v>87</v>
      </c>
      <c r="F23" t="s">
        <v>110</v>
      </c>
      <c r="G23">
        <v>4</v>
      </c>
      <c r="H23" s="54"/>
      <c r="I23" s="54"/>
      <c r="J23" s="9">
        <f>IF(I23="Staff",LOOKUP(F23,'Pattern lookup'!$A$4:$A$29,'Pattern lookup'!$D$4:$D$17),0)</f>
        <v>0</v>
      </c>
    </row>
    <row r="24" spans="1:10" x14ac:dyDescent="0.2">
      <c r="A24" t="s">
        <v>121</v>
      </c>
      <c r="B24" t="s">
        <v>122</v>
      </c>
      <c r="C24" t="s">
        <v>99</v>
      </c>
      <c r="D24" t="s">
        <v>100</v>
      </c>
      <c r="E24" t="s">
        <v>87</v>
      </c>
      <c r="F24" t="s">
        <v>110</v>
      </c>
      <c r="G24">
        <v>5</v>
      </c>
      <c r="H24" s="54"/>
      <c r="I24" s="54"/>
      <c r="J24" s="9">
        <f>IF(I24="Staff",LOOKUP(F24,'Pattern lookup'!$A$4:$A$29,'Pattern lookup'!$D$4:$D$17),0)</f>
        <v>0</v>
      </c>
    </row>
    <row r="25" spans="1:10" x14ac:dyDescent="0.2">
      <c r="A25" t="s">
        <v>121</v>
      </c>
      <c r="B25" t="s">
        <v>122</v>
      </c>
      <c r="C25" t="s">
        <v>99</v>
      </c>
      <c r="D25" t="s">
        <v>100</v>
      </c>
      <c r="E25" t="s">
        <v>88</v>
      </c>
      <c r="F25" t="s">
        <v>48</v>
      </c>
      <c r="G25">
        <v>1</v>
      </c>
      <c r="H25" s="54"/>
      <c r="I25" s="54"/>
      <c r="J25" s="9">
        <f>IF(I25="Staff",LOOKUP(F25,'Pattern lookup'!$A$4:$A$29,'Pattern lookup'!$D$4:$D$17),0)</f>
        <v>0</v>
      </c>
    </row>
    <row r="26" spans="1:10" x14ac:dyDescent="0.2">
      <c r="A26" t="s">
        <v>121</v>
      </c>
      <c r="B26" t="s">
        <v>122</v>
      </c>
      <c r="C26" t="s">
        <v>108</v>
      </c>
      <c r="D26" t="s">
        <v>107</v>
      </c>
      <c r="E26" t="s">
        <v>87</v>
      </c>
      <c r="F26" t="s">
        <v>56</v>
      </c>
      <c r="G26">
        <v>1</v>
      </c>
      <c r="H26" s="54"/>
      <c r="I26" s="54"/>
      <c r="J26" s="9">
        <f>IF(I26="Staff",LOOKUP(F26,'Pattern lookup'!$A$4:$A$29,'Pattern lookup'!$D$4:$D$17),0)</f>
        <v>0</v>
      </c>
    </row>
    <row r="27" spans="1:10" x14ac:dyDescent="0.2">
      <c r="A27" t="s">
        <v>123</v>
      </c>
      <c r="B27" t="s">
        <v>124</v>
      </c>
      <c r="C27" t="s">
        <v>108</v>
      </c>
      <c r="D27" t="s">
        <v>100</v>
      </c>
      <c r="E27" t="s">
        <v>87</v>
      </c>
      <c r="F27" t="s">
        <v>260</v>
      </c>
      <c r="G27">
        <v>1</v>
      </c>
      <c r="H27" s="54"/>
      <c r="I27" s="54"/>
      <c r="J27" s="9">
        <f>IF(I27="Staff",LOOKUP(F27,'Pattern lookup'!$A$4:$A$29,'Pattern lookup'!$D$4:$D$17),0)</f>
        <v>0</v>
      </c>
    </row>
    <row r="28" spans="1:10" x14ac:dyDescent="0.2">
      <c r="A28" t="s">
        <v>123</v>
      </c>
      <c r="B28" t="s">
        <v>124</v>
      </c>
      <c r="C28" t="s">
        <v>108</v>
      </c>
      <c r="D28" t="s">
        <v>100</v>
      </c>
      <c r="E28" t="s">
        <v>87</v>
      </c>
      <c r="F28" t="s">
        <v>260</v>
      </c>
      <c r="G28">
        <v>2</v>
      </c>
      <c r="H28" s="54"/>
      <c r="I28" s="54"/>
      <c r="J28" s="9">
        <f>IF(I28="Staff",LOOKUP(F28,'Pattern lookup'!$A$4:$A$29,'Pattern lookup'!$D$4:$D$17),0)</f>
        <v>0</v>
      </c>
    </row>
    <row r="29" spans="1:10" x14ac:dyDescent="0.2">
      <c r="A29" t="s">
        <v>123</v>
      </c>
      <c r="B29" t="s">
        <v>124</v>
      </c>
      <c r="C29" t="s">
        <v>108</v>
      </c>
      <c r="D29" t="s">
        <v>100</v>
      </c>
      <c r="E29" t="s">
        <v>87</v>
      </c>
      <c r="F29" t="s">
        <v>260</v>
      </c>
      <c r="G29">
        <v>3</v>
      </c>
      <c r="H29" s="54"/>
      <c r="I29" s="54"/>
      <c r="J29" s="9">
        <f>IF(I29="Staff",LOOKUP(F29,'Pattern lookup'!$A$4:$A$29,'Pattern lookup'!$D$4:$D$17),0)</f>
        <v>0</v>
      </c>
    </row>
    <row r="30" spans="1:10" x14ac:dyDescent="0.2">
      <c r="A30" t="s">
        <v>123</v>
      </c>
      <c r="B30" t="s">
        <v>124</v>
      </c>
      <c r="C30" t="s">
        <v>108</v>
      </c>
      <c r="D30" t="s">
        <v>100</v>
      </c>
      <c r="E30" t="s">
        <v>87</v>
      </c>
      <c r="F30" t="s">
        <v>260</v>
      </c>
      <c r="G30">
        <v>4</v>
      </c>
      <c r="H30" s="54"/>
      <c r="I30" s="54"/>
      <c r="J30" s="9">
        <f>IF(I30="Staff",LOOKUP(F30,'Pattern lookup'!$A$4:$A$29,'Pattern lookup'!$D$4:$D$17),0)</f>
        <v>0</v>
      </c>
    </row>
    <row r="31" spans="1:10" x14ac:dyDescent="0.2">
      <c r="A31" t="s">
        <v>123</v>
      </c>
      <c r="B31" t="s">
        <v>124</v>
      </c>
      <c r="C31" t="s">
        <v>108</v>
      </c>
      <c r="D31" t="s">
        <v>100</v>
      </c>
      <c r="E31" t="s">
        <v>87</v>
      </c>
      <c r="F31" t="s">
        <v>260</v>
      </c>
      <c r="G31">
        <v>5</v>
      </c>
      <c r="H31" s="54"/>
      <c r="I31" s="54"/>
      <c r="J31" s="9">
        <f>IF(I31="Staff",LOOKUP(F31,'Pattern lookup'!$A$4:$A$29,'Pattern lookup'!$D$4:$D$17),0)</f>
        <v>0</v>
      </c>
    </row>
    <row r="32" spans="1:10" x14ac:dyDescent="0.2">
      <c r="A32" t="s">
        <v>123</v>
      </c>
      <c r="B32" t="s">
        <v>124</v>
      </c>
      <c r="C32" t="s">
        <v>108</v>
      </c>
      <c r="D32" t="s">
        <v>100</v>
      </c>
      <c r="E32" t="s">
        <v>87</v>
      </c>
      <c r="F32" t="s">
        <v>260</v>
      </c>
      <c r="G32">
        <v>6</v>
      </c>
      <c r="H32" s="54"/>
      <c r="I32" s="54"/>
      <c r="J32" s="9">
        <f>IF(I32="Staff",LOOKUP(F32,'Pattern lookup'!$A$4:$A$29,'Pattern lookup'!$D$4:$D$17),0)</f>
        <v>0</v>
      </c>
    </row>
    <row r="33" spans="1:10" x14ac:dyDescent="0.2">
      <c r="A33" t="s">
        <v>123</v>
      </c>
      <c r="B33" t="s">
        <v>124</v>
      </c>
      <c r="C33" t="s">
        <v>108</v>
      </c>
      <c r="D33" t="s">
        <v>100</v>
      </c>
      <c r="E33" t="s">
        <v>87</v>
      </c>
      <c r="F33" t="s">
        <v>260</v>
      </c>
      <c r="G33">
        <v>7</v>
      </c>
      <c r="H33" s="54"/>
      <c r="I33" s="54"/>
      <c r="J33" s="9">
        <f>IF(I33="Staff",LOOKUP(F33,'Pattern lookup'!$A$4:$A$29,'Pattern lookup'!$D$4:$D$17),0)</f>
        <v>0</v>
      </c>
    </row>
    <row r="34" spans="1:10" x14ac:dyDescent="0.2">
      <c r="A34" t="s">
        <v>123</v>
      </c>
      <c r="B34" t="s">
        <v>124</v>
      </c>
      <c r="C34" t="s">
        <v>108</v>
      </c>
      <c r="D34" t="s">
        <v>100</v>
      </c>
      <c r="E34" t="s">
        <v>88</v>
      </c>
      <c r="F34" t="s">
        <v>48</v>
      </c>
      <c r="G34">
        <v>1</v>
      </c>
      <c r="H34" s="54"/>
      <c r="I34" s="54"/>
      <c r="J34" s="9">
        <f>IF(I34="Staff",LOOKUP(F34,'Pattern lookup'!$A$4:$A$29,'Pattern lookup'!$D$4:$D$17),0)</f>
        <v>0</v>
      </c>
    </row>
    <row r="35" spans="1:10" x14ac:dyDescent="0.2">
      <c r="A35" t="s">
        <v>123</v>
      </c>
      <c r="B35" t="s">
        <v>124</v>
      </c>
      <c r="C35" t="s">
        <v>99</v>
      </c>
      <c r="D35" t="s">
        <v>100</v>
      </c>
      <c r="E35" t="s">
        <v>87</v>
      </c>
      <c r="F35" t="s">
        <v>110</v>
      </c>
      <c r="G35">
        <v>1</v>
      </c>
      <c r="H35" s="54"/>
      <c r="I35" s="54"/>
      <c r="J35" s="9">
        <f>IF(I35="Staff",LOOKUP(F35,'Pattern lookup'!$A$4:$A$29,'Pattern lookup'!$D$4:$D$17),0)</f>
        <v>0</v>
      </c>
    </row>
    <row r="36" spans="1:10" x14ac:dyDescent="0.2">
      <c r="A36" t="s">
        <v>123</v>
      </c>
      <c r="B36" t="s">
        <v>124</v>
      </c>
      <c r="C36" t="s">
        <v>99</v>
      </c>
      <c r="D36" t="s">
        <v>100</v>
      </c>
      <c r="E36" t="s">
        <v>87</v>
      </c>
      <c r="F36" t="s">
        <v>110</v>
      </c>
      <c r="G36">
        <v>2</v>
      </c>
      <c r="H36" s="54"/>
      <c r="I36" s="54"/>
      <c r="J36" s="9">
        <f>IF(I36="Staff",LOOKUP(F36,'Pattern lookup'!$A$4:$A$29,'Pattern lookup'!$D$4:$D$17),0)</f>
        <v>0</v>
      </c>
    </row>
    <row r="37" spans="1:10" x14ac:dyDescent="0.2">
      <c r="A37" t="s">
        <v>123</v>
      </c>
      <c r="B37" t="s">
        <v>124</v>
      </c>
      <c r="C37" t="s">
        <v>99</v>
      </c>
      <c r="D37" t="s">
        <v>100</v>
      </c>
      <c r="E37" t="s">
        <v>87</v>
      </c>
      <c r="F37" t="s">
        <v>110</v>
      </c>
      <c r="G37">
        <v>3</v>
      </c>
      <c r="H37" s="54"/>
      <c r="I37" s="54"/>
      <c r="J37" s="9">
        <f>IF(I37="Staff",LOOKUP(F37,'Pattern lookup'!$A$4:$A$29,'Pattern lookup'!$D$4:$D$17),0)</f>
        <v>0</v>
      </c>
    </row>
    <row r="38" spans="1:10" x14ac:dyDescent="0.2">
      <c r="A38" t="s">
        <v>123</v>
      </c>
      <c r="B38" t="s">
        <v>124</v>
      </c>
      <c r="C38" t="s">
        <v>99</v>
      </c>
      <c r="D38" t="s">
        <v>100</v>
      </c>
      <c r="E38" t="s">
        <v>88</v>
      </c>
      <c r="F38" t="s">
        <v>48</v>
      </c>
      <c r="G38">
        <v>1</v>
      </c>
      <c r="H38" s="54"/>
      <c r="I38" s="54"/>
      <c r="J38" s="9">
        <f>IF(I38="Staff",LOOKUP(F38,'Pattern lookup'!$A$4:$A$29,'Pattern lookup'!$D$4:$D$17),0)</f>
        <v>0</v>
      </c>
    </row>
    <row r="39" spans="1:10" x14ac:dyDescent="0.2">
      <c r="A39" t="s">
        <v>123</v>
      </c>
      <c r="B39" t="s">
        <v>124</v>
      </c>
      <c r="C39" t="s">
        <v>99</v>
      </c>
      <c r="D39" t="s">
        <v>107</v>
      </c>
      <c r="E39" t="s">
        <v>87</v>
      </c>
      <c r="F39" t="s">
        <v>56</v>
      </c>
      <c r="G39">
        <v>1</v>
      </c>
      <c r="H39" s="54"/>
      <c r="I39" s="54"/>
      <c r="J39" s="9">
        <f>IF(I39="Staff",LOOKUP(F39,'Pattern lookup'!$A$4:$A$29,'Pattern lookup'!$D$4:$D$17),0)</f>
        <v>0</v>
      </c>
    </row>
    <row r="40" spans="1:10" x14ac:dyDescent="0.2">
      <c r="A40" t="s">
        <v>125</v>
      </c>
      <c r="B40" t="s">
        <v>126</v>
      </c>
      <c r="C40" t="s">
        <v>99</v>
      </c>
      <c r="D40" t="s">
        <v>100</v>
      </c>
      <c r="E40" t="s">
        <v>87</v>
      </c>
      <c r="F40" t="s">
        <v>260</v>
      </c>
      <c r="G40">
        <v>1</v>
      </c>
      <c r="H40" s="54"/>
      <c r="I40" s="54"/>
      <c r="J40" s="9">
        <f>IF(I40="Staff",LOOKUP(F40,'Pattern lookup'!$A$4:$A$29,'Pattern lookup'!$D$4:$D$17),0)</f>
        <v>0</v>
      </c>
    </row>
    <row r="41" spans="1:10" x14ac:dyDescent="0.2">
      <c r="A41" t="s">
        <v>125</v>
      </c>
      <c r="B41" t="s">
        <v>126</v>
      </c>
      <c r="C41" t="s">
        <v>99</v>
      </c>
      <c r="D41" t="s">
        <v>100</v>
      </c>
      <c r="E41" t="s">
        <v>87</v>
      </c>
      <c r="F41" t="s">
        <v>260</v>
      </c>
      <c r="G41">
        <v>2</v>
      </c>
      <c r="H41" s="54"/>
      <c r="I41" s="54"/>
      <c r="J41" s="9">
        <f>IF(I41="Staff",LOOKUP(F41,'Pattern lookup'!$A$4:$A$29,'Pattern lookup'!$D$4:$D$17),0)</f>
        <v>0</v>
      </c>
    </row>
    <row r="42" spans="1:10" x14ac:dyDescent="0.2">
      <c r="A42" t="s">
        <v>125</v>
      </c>
      <c r="B42" t="s">
        <v>126</v>
      </c>
      <c r="C42" t="s">
        <v>99</v>
      </c>
      <c r="D42" t="s">
        <v>100</v>
      </c>
      <c r="E42" t="s">
        <v>87</v>
      </c>
      <c r="F42" t="s">
        <v>260</v>
      </c>
      <c r="G42">
        <v>3</v>
      </c>
      <c r="H42" s="54"/>
      <c r="I42" s="54"/>
      <c r="J42" s="9">
        <f>IF(I42="Staff",LOOKUP(F42,'Pattern lookup'!$A$4:$A$29,'Pattern lookup'!$D$4:$D$17),0)</f>
        <v>0</v>
      </c>
    </row>
    <row r="43" spans="1:10" x14ac:dyDescent="0.2">
      <c r="A43" t="s">
        <v>125</v>
      </c>
      <c r="B43" t="s">
        <v>126</v>
      </c>
      <c r="C43" t="s">
        <v>99</v>
      </c>
      <c r="D43" t="s">
        <v>100</v>
      </c>
      <c r="E43" t="s">
        <v>87</v>
      </c>
      <c r="F43" t="s">
        <v>260</v>
      </c>
      <c r="G43">
        <v>4</v>
      </c>
      <c r="H43" s="54"/>
      <c r="I43" s="54"/>
      <c r="J43" s="9">
        <f>IF(I43="Staff",LOOKUP(F43,'Pattern lookup'!$A$4:$A$29,'Pattern lookup'!$D$4:$D$17),0)</f>
        <v>0</v>
      </c>
    </row>
    <row r="44" spans="1:10" x14ac:dyDescent="0.2">
      <c r="A44" t="s">
        <v>125</v>
      </c>
      <c r="B44" t="s">
        <v>126</v>
      </c>
      <c r="C44" t="s">
        <v>99</v>
      </c>
      <c r="D44" t="s">
        <v>100</v>
      </c>
      <c r="E44" t="s">
        <v>87</v>
      </c>
      <c r="F44" t="s">
        <v>260</v>
      </c>
      <c r="G44">
        <v>5</v>
      </c>
      <c r="H44" s="54"/>
      <c r="I44" s="54"/>
      <c r="J44" s="9">
        <f>IF(I44="Staff",LOOKUP(F44,'Pattern lookup'!$A$4:$A$29,'Pattern lookup'!$D$4:$D$17),0)</f>
        <v>0</v>
      </c>
    </row>
    <row r="45" spans="1:10" x14ac:dyDescent="0.2">
      <c r="A45" t="s">
        <v>125</v>
      </c>
      <c r="B45" t="s">
        <v>126</v>
      </c>
      <c r="C45" t="s">
        <v>99</v>
      </c>
      <c r="D45" t="s">
        <v>100</v>
      </c>
      <c r="E45" t="s">
        <v>88</v>
      </c>
      <c r="F45" t="s">
        <v>48</v>
      </c>
      <c r="G45">
        <v>1</v>
      </c>
      <c r="H45" s="54"/>
      <c r="I45" s="54"/>
      <c r="J45" s="9">
        <f>IF(I45="Staff",LOOKUP(F45,'Pattern lookup'!$A$4:$A$29,'Pattern lookup'!$D$4:$D$17),0)</f>
        <v>0</v>
      </c>
    </row>
    <row r="46" spans="1:10" x14ac:dyDescent="0.2">
      <c r="A46" t="s">
        <v>127</v>
      </c>
      <c r="B46" t="s">
        <v>128</v>
      </c>
      <c r="C46" t="s">
        <v>108</v>
      </c>
      <c r="D46" t="s">
        <v>100</v>
      </c>
      <c r="E46" t="s">
        <v>87</v>
      </c>
      <c r="F46" t="s">
        <v>260</v>
      </c>
      <c r="G46">
        <v>1</v>
      </c>
      <c r="H46" s="54"/>
      <c r="I46" s="54"/>
      <c r="J46" s="9">
        <f>IF(I46="Staff",LOOKUP(F46,'Pattern lookup'!$A$4:$A$29,'Pattern lookup'!$D$4:$D$17),0)</f>
        <v>0</v>
      </c>
    </row>
    <row r="47" spans="1:10" x14ac:dyDescent="0.2">
      <c r="A47" t="s">
        <v>127</v>
      </c>
      <c r="B47" t="s">
        <v>128</v>
      </c>
      <c r="C47" t="s">
        <v>108</v>
      </c>
      <c r="D47" t="s">
        <v>100</v>
      </c>
      <c r="E47" t="s">
        <v>87</v>
      </c>
      <c r="F47" t="s">
        <v>260</v>
      </c>
      <c r="G47">
        <v>2</v>
      </c>
      <c r="H47" s="54"/>
      <c r="I47" s="54"/>
      <c r="J47" s="9">
        <f>IF(I47="Staff",LOOKUP(F47,'Pattern lookup'!$A$4:$A$29,'Pattern lookup'!$D$4:$D$17),0)</f>
        <v>0</v>
      </c>
    </row>
    <row r="48" spans="1:10" x14ac:dyDescent="0.2">
      <c r="A48" t="s">
        <v>127</v>
      </c>
      <c r="B48" t="s">
        <v>128</v>
      </c>
      <c r="C48" t="s">
        <v>108</v>
      </c>
      <c r="D48" t="s">
        <v>100</v>
      </c>
      <c r="E48" t="s">
        <v>87</v>
      </c>
      <c r="F48" t="s">
        <v>260</v>
      </c>
      <c r="G48">
        <v>3</v>
      </c>
      <c r="H48" s="54"/>
      <c r="I48" s="54"/>
      <c r="J48" s="9">
        <f>IF(I48="Staff",LOOKUP(F48,'Pattern lookup'!$A$4:$A$29,'Pattern lookup'!$D$4:$D$17),0)</f>
        <v>0</v>
      </c>
    </row>
    <row r="49" spans="1:10" x14ac:dyDescent="0.2">
      <c r="A49" t="s">
        <v>127</v>
      </c>
      <c r="B49" t="s">
        <v>128</v>
      </c>
      <c r="C49" t="s">
        <v>108</v>
      </c>
      <c r="D49" t="s">
        <v>100</v>
      </c>
      <c r="E49" t="s">
        <v>87</v>
      </c>
      <c r="F49" t="s">
        <v>260</v>
      </c>
      <c r="G49">
        <v>4</v>
      </c>
      <c r="H49" s="54"/>
      <c r="I49" s="54"/>
      <c r="J49" s="9">
        <f>IF(I49="Staff",LOOKUP(F49,'Pattern lookup'!$A$4:$A$29,'Pattern lookup'!$D$4:$D$17),0)</f>
        <v>0</v>
      </c>
    </row>
    <row r="50" spans="1:10" x14ac:dyDescent="0.2">
      <c r="A50" t="s">
        <v>127</v>
      </c>
      <c r="B50" t="s">
        <v>128</v>
      </c>
      <c r="C50" t="s">
        <v>108</v>
      </c>
      <c r="D50" t="s">
        <v>100</v>
      </c>
      <c r="E50" t="s">
        <v>87</v>
      </c>
      <c r="F50" t="s">
        <v>260</v>
      </c>
      <c r="G50">
        <v>5</v>
      </c>
      <c r="H50" s="54"/>
      <c r="I50" s="54"/>
      <c r="J50" s="9">
        <f>IF(I50="Staff",LOOKUP(F50,'Pattern lookup'!$A$4:$A$29,'Pattern lookup'!$D$4:$D$17),0)</f>
        <v>0</v>
      </c>
    </row>
    <row r="51" spans="1:10" x14ac:dyDescent="0.2">
      <c r="A51" t="s">
        <v>127</v>
      </c>
      <c r="B51" t="s">
        <v>128</v>
      </c>
      <c r="C51" t="s">
        <v>108</v>
      </c>
      <c r="D51" t="s">
        <v>100</v>
      </c>
      <c r="E51" t="s">
        <v>87</v>
      </c>
      <c r="F51" t="s">
        <v>260</v>
      </c>
      <c r="G51">
        <v>6</v>
      </c>
      <c r="H51" s="54"/>
      <c r="I51" s="54"/>
      <c r="J51" s="9">
        <f>IF(I51="Staff",LOOKUP(F51,'Pattern lookup'!$A$4:$A$29,'Pattern lookup'!$D$4:$D$17),0)</f>
        <v>0</v>
      </c>
    </row>
    <row r="52" spans="1:10" x14ac:dyDescent="0.2">
      <c r="A52" t="s">
        <v>127</v>
      </c>
      <c r="B52" t="s">
        <v>128</v>
      </c>
      <c r="C52" t="s">
        <v>108</v>
      </c>
      <c r="D52" t="s">
        <v>100</v>
      </c>
      <c r="E52" t="s">
        <v>87</v>
      </c>
      <c r="F52" t="s">
        <v>260</v>
      </c>
      <c r="G52">
        <v>7</v>
      </c>
      <c r="H52" s="54"/>
      <c r="I52" s="54"/>
      <c r="J52" s="9">
        <f>IF(I52="Staff",LOOKUP(F52,'Pattern lookup'!$A$4:$A$29,'Pattern lookup'!$D$4:$D$17),0)</f>
        <v>0</v>
      </c>
    </row>
    <row r="53" spans="1:10" x14ac:dyDescent="0.2">
      <c r="A53" t="s">
        <v>127</v>
      </c>
      <c r="B53" t="s">
        <v>128</v>
      </c>
      <c r="C53" t="s">
        <v>108</v>
      </c>
      <c r="D53" t="s">
        <v>100</v>
      </c>
      <c r="E53" t="s">
        <v>87</v>
      </c>
      <c r="F53" t="s">
        <v>260</v>
      </c>
      <c r="G53">
        <v>8</v>
      </c>
      <c r="H53" s="54"/>
      <c r="I53" s="54"/>
      <c r="J53" s="9">
        <f>IF(I53="Staff",LOOKUP(F53,'Pattern lookup'!$A$4:$A$29,'Pattern lookup'!$D$4:$D$17),0)</f>
        <v>0</v>
      </c>
    </row>
    <row r="54" spans="1:10" x14ac:dyDescent="0.2">
      <c r="A54" t="s">
        <v>127</v>
      </c>
      <c r="B54" t="s">
        <v>128</v>
      </c>
      <c r="C54" t="s">
        <v>108</v>
      </c>
      <c r="D54" t="s">
        <v>100</v>
      </c>
      <c r="E54" t="s">
        <v>87</v>
      </c>
      <c r="F54" t="s">
        <v>260</v>
      </c>
      <c r="G54">
        <v>9</v>
      </c>
      <c r="H54" s="54"/>
      <c r="I54" s="54"/>
      <c r="J54" s="9">
        <f>IF(I54="Staff",LOOKUP(F54,'Pattern lookup'!$A$4:$A$29,'Pattern lookup'!$D$4:$D$17),0)</f>
        <v>0</v>
      </c>
    </row>
    <row r="55" spans="1:10" x14ac:dyDescent="0.2">
      <c r="A55" t="s">
        <v>127</v>
      </c>
      <c r="B55" t="s">
        <v>128</v>
      </c>
      <c r="C55" t="s">
        <v>108</v>
      </c>
      <c r="D55" t="s">
        <v>100</v>
      </c>
      <c r="E55" t="s">
        <v>87</v>
      </c>
      <c r="F55" t="s">
        <v>260</v>
      </c>
      <c r="G55">
        <v>10</v>
      </c>
      <c r="H55" s="54"/>
      <c r="I55" s="54"/>
      <c r="J55" s="9">
        <f>IF(I55="Staff",LOOKUP(F55,'Pattern lookup'!$A$4:$A$29,'Pattern lookup'!$D$4:$D$17),0)</f>
        <v>0</v>
      </c>
    </row>
    <row r="56" spans="1:10" x14ac:dyDescent="0.2">
      <c r="A56" t="s">
        <v>127</v>
      </c>
      <c r="B56" t="s">
        <v>128</v>
      </c>
      <c r="C56" t="s">
        <v>108</v>
      </c>
      <c r="D56" t="s">
        <v>100</v>
      </c>
      <c r="E56" t="s">
        <v>88</v>
      </c>
      <c r="F56" t="s">
        <v>48</v>
      </c>
      <c r="G56">
        <v>1</v>
      </c>
      <c r="H56" s="54"/>
      <c r="I56" s="54"/>
      <c r="J56" s="9">
        <f>IF(I56="Staff",LOOKUP(F56,'Pattern lookup'!$A$4:$A$29,'Pattern lookup'!$D$4:$D$17),0)</f>
        <v>0</v>
      </c>
    </row>
    <row r="57" spans="1:10" x14ac:dyDescent="0.2">
      <c r="A57" t="s">
        <v>127</v>
      </c>
      <c r="B57" t="s">
        <v>128</v>
      </c>
      <c r="C57" t="s">
        <v>108</v>
      </c>
      <c r="D57" t="s">
        <v>100</v>
      </c>
      <c r="E57" t="s">
        <v>88</v>
      </c>
      <c r="F57" t="s">
        <v>48</v>
      </c>
      <c r="G57">
        <v>2</v>
      </c>
      <c r="H57" s="54"/>
      <c r="I57" s="54"/>
      <c r="J57" s="9">
        <f>IF(I57="Staff",LOOKUP(F57,'Pattern lookup'!$A$4:$A$29,'Pattern lookup'!$D$4:$D$17),0)</f>
        <v>0</v>
      </c>
    </row>
    <row r="58" spans="1:10" x14ac:dyDescent="0.2">
      <c r="A58" t="s">
        <v>127</v>
      </c>
      <c r="B58" t="s">
        <v>128</v>
      </c>
      <c r="C58" t="s">
        <v>99</v>
      </c>
      <c r="D58" t="s">
        <v>100</v>
      </c>
      <c r="E58" t="s">
        <v>88</v>
      </c>
      <c r="F58" t="s">
        <v>55</v>
      </c>
      <c r="G58">
        <v>1</v>
      </c>
      <c r="H58" s="54"/>
      <c r="I58" s="54"/>
      <c r="J58" s="9">
        <f>IF(I58="Staff",LOOKUP(F58,'Pattern lookup'!$A$4:$A$29,'Pattern lookup'!$D$4:$D$17),0)</f>
        <v>0</v>
      </c>
    </row>
    <row r="59" spans="1:10" x14ac:dyDescent="0.2">
      <c r="A59" t="s">
        <v>127</v>
      </c>
      <c r="B59" t="s">
        <v>128</v>
      </c>
      <c r="C59" t="s">
        <v>99</v>
      </c>
      <c r="D59" t="s">
        <v>100</v>
      </c>
      <c r="E59" t="s">
        <v>88</v>
      </c>
      <c r="F59" t="s">
        <v>55</v>
      </c>
      <c r="G59">
        <v>2</v>
      </c>
      <c r="H59" s="54"/>
      <c r="I59" s="54"/>
      <c r="J59" s="9">
        <f>IF(I59="Staff",LOOKUP(F59,'Pattern lookup'!$A$4:$A$29,'Pattern lookup'!$D$4:$D$17),0)</f>
        <v>0</v>
      </c>
    </row>
    <row r="60" spans="1:10" x14ac:dyDescent="0.2">
      <c r="A60" t="s">
        <v>127</v>
      </c>
      <c r="B60" t="s">
        <v>128</v>
      </c>
      <c r="C60" t="s">
        <v>99</v>
      </c>
      <c r="D60" t="s">
        <v>100</v>
      </c>
      <c r="E60" t="s">
        <v>88</v>
      </c>
      <c r="F60" t="s">
        <v>55</v>
      </c>
      <c r="G60">
        <v>3</v>
      </c>
      <c r="H60" s="54"/>
      <c r="I60" s="54"/>
      <c r="J60" s="9">
        <f>IF(I60="Staff",LOOKUP(F60,'Pattern lookup'!$A$4:$A$29,'Pattern lookup'!$D$4:$D$17),0)</f>
        <v>0</v>
      </c>
    </row>
    <row r="61" spans="1:10" x14ac:dyDescent="0.2">
      <c r="A61" t="s">
        <v>127</v>
      </c>
      <c r="B61" t="s">
        <v>128</v>
      </c>
      <c r="C61" t="s">
        <v>108</v>
      </c>
      <c r="D61" t="s">
        <v>107</v>
      </c>
      <c r="E61" t="s">
        <v>87</v>
      </c>
      <c r="F61" t="s">
        <v>56</v>
      </c>
      <c r="G61">
        <v>1</v>
      </c>
      <c r="H61" s="54"/>
      <c r="I61" s="54"/>
      <c r="J61" s="9">
        <f>IF(I61="Staff",LOOKUP(F61,'Pattern lookup'!$A$4:$A$29,'Pattern lookup'!$D$4:$D$17),0)</f>
        <v>0</v>
      </c>
    </row>
    <row r="62" spans="1:10" x14ac:dyDescent="0.2">
      <c r="A62" t="s">
        <v>127</v>
      </c>
      <c r="B62" t="s">
        <v>128</v>
      </c>
      <c r="C62" t="s">
        <v>108</v>
      </c>
      <c r="D62" t="s">
        <v>138</v>
      </c>
      <c r="E62" t="s">
        <v>87</v>
      </c>
      <c r="F62" t="s">
        <v>56</v>
      </c>
      <c r="G62">
        <v>1</v>
      </c>
      <c r="H62" s="54"/>
      <c r="I62" s="54"/>
      <c r="J62" s="9">
        <f>IF(I62="Staff",LOOKUP(F62,'Pattern lookup'!$A$4:$A$29,'Pattern lookup'!$D$4:$D$17),0)</f>
        <v>0</v>
      </c>
    </row>
    <row r="63" spans="1:10" x14ac:dyDescent="0.2">
      <c r="A63" t="s">
        <v>129</v>
      </c>
      <c r="B63" t="s">
        <v>130</v>
      </c>
      <c r="C63" t="s">
        <v>99</v>
      </c>
      <c r="D63" t="s">
        <v>100</v>
      </c>
      <c r="E63" t="s">
        <v>87</v>
      </c>
      <c r="F63" t="s">
        <v>260</v>
      </c>
      <c r="G63">
        <v>1</v>
      </c>
      <c r="H63" s="54"/>
      <c r="I63" s="54"/>
      <c r="J63" s="9">
        <f>IF(I63="Staff",LOOKUP(F63,'Pattern lookup'!$A$4:$A$29,'Pattern lookup'!$D$4:$D$17),0)</f>
        <v>0</v>
      </c>
    </row>
    <row r="64" spans="1:10" x14ac:dyDescent="0.2">
      <c r="A64" t="s">
        <v>129</v>
      </c>
      <c r="B64" t="s">
        <v>130</v>
      </c>
      <c r="C64" t="s">
        <v>99</v>
      </c>
      <c r="D64" t="s">
        <v>100</v>
      </c>
      <c r="E64" t="s">
        <v>87</v>
      </c>
      <c r="F64" t="s">
        <v>260</v>
      </c>
      <c r="G64">
        <v>2</v>
      </c>
      <c r="H64" s="54"/>
      <c r="I64" s="54"/>
      <c r="J64" s="9">
        <f>IF(I64="Staff",LOOKUP(F64,'Pattern lookup'!$A$4:$A$29,'Pattern lookup'!$D$4:$D$17),0)</f>
        <v>0</v>
      </c>
    </row>
    <row r="65" spans="1:10" x14ac:dyDescent="0.2">
      <c r="A65" t="s">
        <v>129</v>
      </c>
      <c r="B65" t="s">
        <v>130</v>
      </c>
      <c r="C65" t="s">
        <v>99</v>
      </c>
      <c r="D65" t="s">
        <v>100</v>
      </c>
      <c r="E65" t="s">
        <v>87</v>
      </c>
      <c r="F65" t="s">
        <v>260</v>
      </c>
      <c r="G65">
        <v>3</v>
      </c>
      <c r="H65" s="54"/>
      <c r="I65" s="54"/>
      <c r="J65" s="9">
        <f>IF(I65="Staff",LOOKUP(F65,'Pattern lookup'!$A$4:$A$29,'Pattern lookup'!$D$4:$D$17),0)</f>
        <v>0</v>
      </c>
    </row>
    <row r="66" spans="1:10" x14ac:dyDescent="0.2">
      <c r="A66" t="s">
        <v>129</v>
      </c>
      <c r="B66" t="s">
        <v>130</v>
      </c>
      <c r="C66" t="s">
        <v>99</v>
      </c>
      <c r="D66" t="s">
        <v>100</v>
      </c>
      <c r="E66" t="s">
        <v>87</v>
      </c>
      <c r="F66" t="s">
        <v>260</v>
      </c>
      <c r="G66">
        <v>4</v>
      </c>
      <c r="H66" s="54"/>
      <c r="I66" s="54"/>
      <c r="J66" s="9">
        <f>IF(I66="Staff",LOOKUP(F66,'Pattern lookup'!$A$4:$A$29,'Pattern lookup'!$D$4:$D$17),0)</f>
        <v>0</v>
      </c>
    </row>
    <row r="67" spans="1:10" x14ac:dyDescent="0.2">
      <c r="A67" t="s">
        <v>129</v>
      </c>
      <c r="B67" t="s">
        <v>130</v>
      </c>
      <c r="C67" t="s">
        <v>99</v>
      </c>
      <c r="D67" t="s">
        <v>100</v>
      </c>
      <c r="E67" t="s">
        <v>87</v>
      </c>
      <c r="F67" t="s">
        <v>260</v>
      </c>
      <c r="G67">
        <v>5</v>
      </c>
      <c r="H67" s="54"/>
      <c r="I67" s="54"/>
      <c r="J67" s="9">
        <f>IF(I67="Staff",LOOKUP(F67,'Pattern lookup'!$A$4:$A$29,'Pattern lookup'!$D$4:$D$17),0)</f>
        <v>0</v>
      </c>
    </row>
    <row r="68" spans="1:10" x14ac:dyDescent="0.2">
      <c r="A68" t="s">
        <v>129</v>
      </c>
      <c r="B68" t="s">
        <v>130</v>
      </c>
      <c r="C68" t="s">
        <v>99</v>
      </c>
      <c r="D68" t="s">
        <v>100</v>
      </c>
      <c r="E68" t="s">
        <v>87</v>
      </c>
      <c r="F68" t="s">
        <v>260</v>
      </c>
      <c r="G68">
        <v>6</v>
      </c>
      <c r="H68" s="54"/>
      <c r="I68" s="54"/>
      <c r="J68" s="9">
        <f>IF(I68="Staff",LOOKUP(F68,'Pattern lookup'!$A$4:$A$29,'Pattern lookup'!$D$4:$D$17),0)</f>
        <v>0</v>
      </c>
    </row>
    <row r="69" spans="1:10" x14ac:dyDescent="0.2">
      <c r="A69" t="s">
        <v>129</v>
      </c>
      <c r="B69" t="s">
        <v>130</v>
      </c>
      <c r="C69" t="s">
        <v>99</v>
      </c>
      <c r="D69" t="s">
        <v>100</v>
      </c>
      <c r="E69" t="s">
        <v>88</v>
      </c>
      <c r="F69" t="s">
        <v>48</v>
      </c>
      <c r="G69">
        <v>1</v>
      </c>
      <c r="H69" s="54"/>
      <c r="I69" s="54"/>
      <c r="J69" s="9">
        <f>IF(I69="Staff",LOOKUP(F69,'Pattern lookup'!$A$4:$A$29,'Pattern lookup'!$D$4:$D$17),0)</f>
        <v>0</v>
      </c>
    </row>
    <row r="70" spans="1:10" x14ac:dyDescent="0.2">
      <c r="A70" t="s">
        <v>104</v>
      </c>
      <c r="B70" t="s">
        <v>105</v>
      </c>
      <c r="C70" t="s">
        <v>99</v>
      </c>
      <c r="D70" t="s">
        <v>100</v>
      </c>
      <c r="E70" t="s">
        <v>87</v>
      </c>
      <c r="F70" t="s">
        <v>260</v>
      </c>
      <c r="G70">
        <v>1</v>
      </c>
      <c r="H70" s="54"/>
      <c r="I70" s="54"/>
      <c r="J70" s="9">
        <f>IF(I70="Staff",LOOKUP(F70,'Pattern lookup'!$A$4:$A$29,'Pattern lookup'!$D$4:$D$17),0)</f>
        <v>0</v>
      </c>
    </row>
    <row r="71" spans="1:10" x14ac:dyDescent="0.2">
      <c r="A71" t="s">
        <v>104</v>
      </c>
      <c r="B71" t="s">
        <v>105</v>
      </c>
      <c r="C71" t="s">
        <v>99</v>
      </c>
      <c r="D71" t="s">
        <v>100</v>
      </c>
      <c r="E71" t="s">
        <v>87</v>
      </c>
      <c r="F71" t="s">
        <v>260</v>
      </c>
      <c r="G71">
        <v>2</v>
      </c>
      <c r="H71" s="54"/>
      <c r="I71" s="54"/>
      <c r="J71" s="9">
        <f>IF(I71="Staff",LOOKUP(F71,'Pattern lookup'!$A$4:$A$29,'Pattern lookup'!$D$4:$D$17),0)</f>
        <v>0</v>
      </c>
    </row>
    <row r="72" spans="1:10" x14ac:dyDescent="0.2">
      <c r="A72" t="s">
        <v>104</v>
      </c>
      <c r="B72" t="s">
        <v>105</v>
      </c>
      <c r="C72" t="s">
        <v>99</v>
      </c>
      <c r="D72" t="s">
        <v>100</v>
      </c>
      <c r="E72" t="s">
        <v>87</v>
      </c>
      <c r="F72" t="s">
        <v>260</v>
      </c>
      <c r="G72">
        <v>3</v>
      </c>
      <c r="H72" s="54"/>
      <c r="I72" s="54"/>
      <c r="J72" s="9">
        <f>IF(I72="Staff",LOOKUP(F72,'Pattern lookup'!$A$4:$A$29,'Pattern lookup'!$D$4:$D$17),0)</f>
        <v>0</v>
      </c>
    </row>
    <row r="73" spans="1:10" x14ac:dyDescent="0.2">
      <c r="A73" t="s">
        <v>104</v>
      </c>
      <c r="B73" t="s">
        <v>105</v>
      </c>
      <c r="C73" t="s">
        <v>99</v>
      </c>
      <c r="D73" t="s">
        <v>100</v>
      </c>
      <c r="E73" t="s">
        <v>87</v>
      </c>
      <c r="F73" t="s">
        <v>260</v>
      </c>
      <c r="G73">
        <v>4</v>
      </c>
      <c r="H73" s="54"/>
      <c r="I73" s="54"/>
      <c r="J73" s="9">
        <f>IF(I73="Staff",LOOKUP(F73,'Pattern lookup'!$A$4:$A$29,'Pattern lookup'!$D$4:$D$17),0)</f>
        <v>0</v>
      </c>
    </row>
    <row r="74" spans="1:10" x14ac:dyDescent="0.2">
      <c r="A74" t="s">
        <v>104</v>
      </c>
      <c r="B74" t="s">
        <v>105</v>
      </c>
      <c r="C74" t="s">
        <v>99</v>
      </c>
      <c r="D74" t="s">
        <v>100</v>
      </c>
      <c r="E74" t="s">
        <v>88</v>
      </c>
      <c r="F74" t="s">
        <v>48</v>
      </c>
      <c r="G74">
        <v>1</v>
      </c>
      <c r="H74" s="54"/>
      <c r="I74" s="54"/>
      <c r="J74" s="9">
        <f>IF(I74="Staff",LOOKUP(F74,'Pattern lookup'!$A$4:$A$29,'Pattern lookup'!$D$4:$D$17),0)</f>
        <v>0</v>
      </c>
    </row>
    <row r="75" spans="1:10" x14ac:dyDescent="0.2">
      <c r="A75" t="s">
        <v>104</v>
      </c>
      <c r="B75" t="s">
        <v>105</v>
      </c>
      <c r="C75" t="s">
        <v>99</v>
      </c>
      <c r="D75" t="s">
        <v>107</v>
      </c>
      <c r="E75" t="s">
        <v>87</v>
      </c>
      <c r="F75" t="s">
        <v>56</v>
      </c>
      <c r="G75">
        <v>1</v>
      </c>
      <c r="H75" s="54"/>
      <c r="I75" s="54"/>
      <c r="J75" s="9">
        <f>IF(I75="Staff",LOOKUP(F75,'Pattern lookup'!$A$4:$A$29,'Pattern lookup'!$D$4:$D$17),0)</f>
        <v>0</v>
      </c>
    </row>
    <row r="76" spans="1:10" x14ac:dyDescent="0.2">
      <c r="A76" t="s">
        <v>106</v>
      </c>
      <c r="B76" t="s">
        <v>131</v>
      </c>
      <c r="C76" t="s">
        <v>108</v>
      </c>
      <c r="D76" t="s">
        <v>100</v>
      </c>
      <c r="E76" t="s">
        <v>87</v>
      </c>
      <c r="F76" t="s">
        <v>260</v>
      </c>
      <c r="G76">
        <v>1</v>
      </c>
      <c r="H76" s="54"/>
      <c r="I76" s="54"/>
      <c r="J76" s="9">
        <f>IF(I76="Staff",LOOKUP(F76,'Pattern lookup'!$A$4:$A$29,'Pattern lookup'!$D$4:$D$17),0)</f>
        <v>0</v>
      </c>
    </row>
    <row r="77" spans="1:10" x14ac:dyDescent="0.2">
      <c r="A77" t="s">
        <v>106</v>
      </c>
      <c r="B77" t="s">
        <v>131</v>
      </c>
      <c r="C77" t="s">
        <v>108</v>
      </c>
      <c r="D77" t="s">
        <v>100</v>
      </c>
      <c r="E77" t="s">
        <v>87</v>
      </c>
      <c r="F77" t="s">
        <v>260</v>
      </c>
      <c r="G77">
        <v>2</v>
      </c>
      <c r="H77" s="54"/>
      <c r="I77" s="54"/>
      <c r="J77" s="9">
        <f>IF(I77="Staff",LOOKUP(F77,'Pattern lookup'!$A$4:$A$29,'Pattern lookup'!$D$4:$D$17),0)</f>
        <v>0</v>
      </c>
    </row>
    <row r="78" spans="1:10" x14ac:dyDescent="0.2">
      <c r="A78" t="s">
        <v>106</v>
      </c>
      <c r="B78" t="s">
        <v>131</v>
      </c>
      <c r="C78" t="s">
        <v>108</v>
      </c>
      <c r="D78" t="s">
        <v>100</v>
      </c>
      <c r="E78" t="s">
        <v>87</v>
      </c>
      <c r="F78" t="s">
        <v>260</v>
      </c>
      <c r="G78">
        <v>3</v>
      </c>
      <c r="H78" s="54"/>
      <c r="I78" s="54"/>
      <c r="J78" s="9">
        <f>IF(I78="Staff",LOOKUP(F78,'Pattern lookup'!$A$4:$A$29,'Pattern lookup'!$D$4:$D$17),0)</f>
        <v>0</v>
      </c>
    </row>
    <row r="79" spans="1:10" x14ac:dyDescent="0.2">
      <c r="A79" t="s">
        <v>106</v>
      </c>
      <c r="B79" t="s">
        <v>131</v>
      </c>
      <c r="C79" t="s">
        <v>108</v>
      </c>
      <c r="D79" t="s">
        <v>100</v>
      </c>
      <c r="E79" t="s">
        <v>88</v>
      </c>
      <c r="F79" t="s">
        <v>48</v>
      </c>
      <c r="G79">
        <v>1</v>
      </c>
      <c r="H79" s="54"/>
      <c r="I79" s="54"/>
      <c r="J79" s="9">
        <f>IF(I79="Staff",LOOKUP(F79,'Pattern lookup'!$A$4:$A$29,'Pattern lookup'!$D$4:$D$17),0)</f>
        <v>0</v>
      </c>
    </row>
    <row r="80" spans="1:10" x14ac:dyDescent="0.2">
      <c r="A80" t="s">
        <v>106</v>
      </c>
      <c r="B80" t="s">
        <v>131</v>
      </c>
      <c r="C80" t="s">
        <v>99</v>
      </c>
      <c r="D80" t="s">
        <v>100</v>
      </c>
      <c r="E80" t="s">
        <v>87</v>
      </c>
      <c r="F80" t="s">
        <v>110</v>
      </c>
      <c r="G80">
        <v>1</v>
      </c>
      <c r="H80" s="54"/>
      <c r="I80" s="54"/>
      <c r="J80" s="9">
        <f>IF(I80="Staff",LOOKUP(F80,'Pattern lookup'!$A$4:$A$29,'Pattern lookup'!$D$4:$D$17),0)</f>
        <v>0</v>
      </c>
    </row>
    <row r="81" spans="1:10" x14ac:dyDescent="0.2">
      <c r="A81" t="s">
        <v>106</v>
      </c>
      <c r="B81" t="s">
        <v>131</v>
      </c>
      <c r="C81" t="s">
        <v>99</v>
      </c>
      <c r="D81" t="s">
        <v>100</v>
      </c>
      <c r="E81" t="s">
        <v>87</v>
      </c>
      <c r="F81" t="s">
        <v>110</v>
      </c>
      <c r="G81">
        <v>2</v>
      </c>
      <c r="H81" s="54"/>
      <c r="I81" s="54"/>
      <c r="J81" s="9">
        <f>IF(I81="Staff",LOOKUP(F81,'Pattern lookup'!$A$4:$A$29,'Pattern lookup'!$D$4:$D$17),0)</f>
        <v>0</v>
      </c>
    </row>
    <row r="82" spans="1:10" x14ac:dyDescent="0.2">
      <c r="A82" t="s">
        <v>106</v>
      </c>
      <c r="B82" t="s">
        <v>131</v>
      </c>
      <c r="C82" t="s">
        <v>99</v>
      </c>
      <c r="D82" t="s">
        <v>100</v>
      </c>
      <c r="E82" t="s">
        <v>87</v>
      </c>
      <c r="F82" t="s">
        <v>110</v>
      </c>
      <c r="G82">
        <v>3</v>
      </c>
      <c r="H82" s="54"/>
      <c r="I82" s="54"/>
      <c r="J82" s="9">
        <f>IF(I82="Staff",LOOKUP(F82,'Pattern lookup'!$A$4:$A$29,'Pattern lookup'!$D$4:$D$17),0)</f>
        <v>0</v>
      </c>
    </row>
    <row r="83" spans="1:10" x14ac:dyDescent="0.2">
      <c r="A83" t="s">
        <v>106</v>
      </c>
      <c r="B83" t="s">
        <v>131</v>
      </c>
      <c r="C83" t="s">
        <v>99</v>
      </c>
      <c r="D83" t="s">
        <v>100</v>
      </c>
      <c r="E83" t="s">
        <v>88</v>
      </c>
      <c r="F83" t="s">
        <v>48</v>
      </c>
      <c r="G83">
        <v>1</v>
      </c>
      <c r="H83" s="54"/>
      <c r="I83" s="54"/>
      <c r="J83" s="9">
        <f>IF(I83="Staff",LOOKUP(F83,'Pattern lookup'!$A$4:$A$29,'Pattern lookup'!$D$4:$D$17),0)</f>
        <v>0</v>
      </c>
    </row>
    <row r="84" spans="1:10" x14ac:dyDescent="0.2">
      <c r="A84" t="s">
        <v>106</v>
      </c>
      <c r="B84" t="s">
        <v>131</v>
      </c>
      <c r="C84" t="s">
        <v>99</v>
      </c>
      <c r="D84" t="s">
        <v>107</v>
      </c>
      <c r="E84" t="s">
        <v>87</v>
      </c>
      <c r="F84" t="s">
        <v>56</v>
      </c>
      <c r="G84">
        <v>1</v>
      </c>
      <c r="H84" s="54"/>
      <c r="I84" s="54"/>
      <c r="J84" s="9">
        <f>IF(I84="Staff",LOOKUP(F84,'Pattern lookup'!$A$4:$A$29,'Pattern lookup'!$D$4:$D$17),0)</f>
        <v>0</v>
      </c>
    </row>
    <row r="85" spans="1:10" x14ac:dyDescent="0.2">
      <c r="A85" t="s">
        <v>132</v>
      </c>
      <c r="B85" t="s">
        <v>133</v>
      </c>
      <c r="C85" t="s">
        <v>99</v>
      </c>
      <c r="D85" t="s">
        <v>100</v>
      </c>
      <c r="E85" t="s">
        <v>87</v>
      </c>
      <c r="F85" t="s">
        <v>260</v>
      </c>
      <c r="G85">
        <v>1</v>
      </c>
      <c r="H85" s="54"/>
      <c r="I85" s="54"/>
      <c r="J85" s="9">
        <f>IF(I85="Staff",LOOKUP(F85,'Pattern lookup'!$A$4:$A$29,'Pattern lookup'!$D$4:$D$17),0)</f>
        <v>0</v>
      </c>
    </row>
    <row r="86" spans="1:10" x14ac:dyDescent="0.2">
      <c r="A86" t="s">
        <v>132</v>
      </c>
      <c r="B86" t="s">
        <v>133</v>
      </c>
      <c r="C86" t="s">
        <v>99</v>
      </c>
      <c r="D86" t="s">
        <v>100</v>
      </c>
      <c r="E86" t="s">
        <v>87</v>
      </c>
      <c r="F86" t="s">
        <v>260</v>
      </c>
      <c r="G86">
        <v>2</v>
      </c>
      <c r="H86" s="54"/>
      <c r="I86" s="54"/>
      <c r="J86" s="9">
        <f>IF(I86="Staff",LOOKUP(F86,'Pattern lookup'!$A$4:$A$29,'Pattern lookup'!$D$4:$D$17),0)</f>
        <v>0</v>
      </c>
    </row>
    <row r="87" spans="1:10" x14ac:dyDescent="0.2">
      <c r="A87" t="s">
        <v>132</v>
      </c>
      <c r="B87" t="s">
        <v>133</v>
      </c>
      <c r="C87" t="s">
        <v>99</v>
      </c>
      <c r="D87" t="s">
        <v>100</v>
      </c>
      <c r="E87" t="s">
        <v>87</v>
      </c>
      <c r="F87" t="s">
        <v>260</v>
      </c>
      <c r="G87">
        <v>3</v>
      </c>
      <c r="H87" s="54"/>
      <c r="I87" s="54"/>
      <c r="J87" s="9">
        <f>IF(I87="Staff",LOOKUP(F87,'Pattern lookup'!$A$4:$A$29,'Pattern lookup'!$D$4:$D$17),0)</f>
        <v>0</v>
      </c>
    </row>
    <row r="88" spans="1:10" x14ac:dyDescent="0.2">
      <c r="A88" t="s">
        <v>136</v>
      </c>
      <c r="B88" t="s">
        <v>137</v>
      </c>
      <c r="C88" t="s">
        <v>99</v>
      </c>
      <c r="D88" t="s">
        <v>100</v>
      </c>
      <c r="E88" t="s">
        <v>87</v>
      </c>
      <c r="F88" t="s">
        <v>47</v>
      </c>
      <c r="G88">
        <v>1</v>
      </c>
      <c r="H88" s="54"/>
      <c r="I88" s="54"/>
      <c r="J88" s="9">
        <f>IF(I88="Staff",LOOKUP(F88,'Pattern lookup'!$A$4:$A$29,'Pattern lookup'!$D$4:$D$17),0)</f>
        <v>0</v>
      </c>
    </row>
    <row r="89" spans="1:10" x14ac:dyDescent="0.2">
      <c r="A89" t="s">
        <v>136</v>
      </c>
      <c r="B89" t="s">
        <v>137</v>
      </c>
      <c r="C89" t="s">
        <v>99</v>
      </c>
      <c r="D89" t="s">
        <v>100</v>
      </c>
      <c r="E89" t="s">
        <v>88</v>
      </c>
      <c r="F89" t="s">
        <v>48</v>
      </c>
      <c r="G89">
        <v>1</v>
      </c>
      <c r="H89" s="54"/>
      <c r="I89" s="54"/>
      <c r="J89" s="9">
        <f>IF(I89="Staff",LOOKUP(F89,'Pattern lookup'!$A$4:$A$29,'Pattern lookup'!$D$4:$D$17),0)</f>
        <v>0</v>
      </c>
    </row>
    <row r="90" spans="1:10" x14ac:dyDescent="0.2">
      <c r="A90" t="s">
        <v>139</v>
      </c>
      <c r="B90" t="s">
        <v>140</v>
      </c>
      <c r="C90" t="s">
        <v>108</v>
      </c>
      <c r="D90" t="s">
        <v>100</v>
      </c>
      <c r="E90" t="s">
        <v>87</v>
      </c>
      <c r="F90" t="s">
        <v>47</v>
      </c>
      <c r="G90">
        <v>1</v>
      </c>
      <c r="H90" s="54"/>
      <c r="I90" s="54"/>
      <c r="J90" s="9">
        <f>IF(I90="Staff",LOOKUP(F90,'Pattern lookup'!$A$4:$A$29,'Pattern lookup'!$D$4:$D$17),0)</f>
        <v>0</v>
      </c>
    </row>
    <row r="91" spans="1:10" x14ac:dyDescent="0.2">
      <c r="A91" t="s">
        <v>139</v>
      </c>
      <c r="B91" t="s">
        <v>140</v>
      </c>
      <c r="C91" t="s">
        <v>108</v>
      </c>
      <c r="D91" t="s">
        <v>100</v>
      </c>
      <c r="E91" t="s">
        <v>87</v>
      </c>
      <c r="F91" t="s">
        <v>47</v>
      </c>
      <c r="G91">
        <v>2</v>
      </c>
      <c r="H91" s="54"/>
      <c r="I91" s="54"/>
      <c r="J91" s="9">
        <f>IF(I91="Staff",LOOKUP(F91,'Pattern lookup'!$A$4:$A$29,'Pattern lookup'!$D$4:$D$17),0)</f>
        <v>0</v>
      </c>
    </row>
    <row r="92" spans="1:10" x14ac:dyDescent="0.2">
      <c r="A92" t="s">
        <v>139</v>
      </c>
      <c r="B92" t="s">
        <v>140</v>
      </c>
      <c r="C92" t="s">
        <v>108</v>
      </c>
      <c r="D92" t="s">
        <v>100</v>
      </c>
      <c r="E92" t="s">
        <v>87</v>
      </c>
      <c r="F92" t="s">
        <v>47</v>
      </c>
      <c r="G92">
        <v>3</v>
      </c>
      <c r="H92" s="54"/>
      <c r="I92" s="54"/>
      <c r="J92" s="9">
        <f>IF(I92="Staff",LOOKUP(F92,'Pattern lookup'!$A$4:$A$29,'Pattern lookup'!$D$4:$D$17),0)</f>
        <v>0</v>
      </c>
    </row>
    <row r="93" spans="1:10" x14ac:dyDescent="0.2">
      <c r="A93" t="s">
        <v>139</v>
      </c>
      <c r="B93" t="s">
        <v>140</v>
      </c>
      <c r="C93" t="s">
        <v>108</v>
      </c>
      <c r="D93" t="s">
        <v>100</v>
      </c>
      <c r="E93" t="s">
        <v>88</v>
      </c>
      <c r="F93" t="s">
        <v>48</v>
      </c>
      <c r="G93">
        <v>1</v>
      </c>
      <c r="H93" s="54"/>
      <c r="I93" s="54"/>
      <c r="J93" s="9">
        <f>IF(I93="Staff",LOOKUP(F93,'Pattern lookup'!$A$4:$A$29,'Pattern lookup'!$D$4:$D$17),0)</f>
        <v>0</v>
      </c>
    </row>
    <row r="94" spans="1:10" x14ac:dyDescent="0.2">
      <c r="A94" t="s">
        <v>147</v>
      </c>
      <c r="B94" t="s">
        <v>148</v>
      </c>
      <c r="C94" t="s">
        <v>108</v>
      </c>
      <c r="D94" t="s">
        <v>100</v>
      </c>
      <c r="E94" t="s">
        <v>87</v>
      </c>
      <c r="F94" t="s">
        <v>47</v>
      </c>
      <c r="G94">
        <v>1</v>
      </c>
      <c r="H94" s="54"/>
      <c r="I94" s="54"/>
      <c r="J94" s="9">
        <f>IF(I94="Staff",LOOKUP(F94,'Pattern lookup'!$A$4:$A$29,'Pattern lookup'!$D$4:$D$17),0)</f>
        <v>0</v>
      </c>
    </row>
    <row r="95" spans="1:10" x14ac:dyDescent="0.2">
      <c r="A95" t="s">
        <v>147</v>
      </c>
      <c r="B95" t="s">
        <v>148</v>
      </c>
      <c r="C95" t="s">
        <v>108</v>
      </c>
      <c r="D95" t="s">
        <v>100</v>
      </c>
      <c r="E95" t="s">
        <v>87</v>
      </c>
      <c r="F95" t="s">
        <v>47</v>
      </c>
      <c r="G95">
        <v>2</v>
      </c>
      <c r="H95" s="54"/>
      <c r="I95" s="54"/>
      <c r="J95" s="9">
        <f>IF(I95="Staff",LOOKUP(F95,'Pattern lookup'!$A$4:$A$29,'Pattern lookup'!$D$4:$D$17),0)</f>
        <v>0</v>
      </c>
    </row>
    <row r="96" spans="1:10" x14ac:dyDescent="0.2">
      <c r="A96" t="s">
        <v>147</v>
      </c>
      <c r="B96" t="s">
        <v>148</v>
      </c>
      <c r="C96" t="s">
        <v>108</v>
      </c>
      <c r="D96" t="s">
        <v>100</v>
      </c>
      <c r="E96" t="s">
        <v>87</v>
      </c>
      <c r="F96" t="s">
        <v>47</v>
      </c>
      <c r="G96">
        <v>3</v>
      </c>
      <c r="H96" s="54"/>
      <c r="I96" s="54"/>
      <c r="J96" s="9">
        <f>IF(I96="Staff",LOOKUP(F96,'Pattern lookup'!$A$4:$A$29,'Pattern lookup'!$D$4:$D$17),0)</f>
        <v>0</v>
      </c>
    </row>
    <row r="97" spans="1:10" x14ac:dyDescent="0.2">
      <c r="A97" t="s">
        <v>147</v>
      </c>
      <c r="B97" t="s">
        <v>148</v>
      </c>
      <c r="C97" t="s">
        <v>108</v>
      </c>
      <c r="D97" t="s">
        <v>100</v>
      </c>
      <c r="E97" t="s">
        <v>87</v>
      </c>
      <c r="F97" t="s">
        <v>47</v>
      </c>
      <c r="G97">
        <v>4</v>
      </c>
      <c r="H97" s="54"/>
      <c r="I97" s="54"/>
      <c r="J97" s="9">
        <f>IF(I97="Staff",LOOKUP(F97,'Pattern lookup'!$A$4:$A$29,'Pattern lookup'!$D$4:$D$17),0)</f>
        <v>0</v>
      </c>
    </row>
    <row r="98" spans="1:10" x14ac:dyDescent="0.2">
      <c r="A98" t="s">
        <v>147</v>
      </c>
      <c r="B98" t="s">
        <v>148</v>
      </c>
      <c r="C98" t="s">
        <v>108</v>
      </c>
      <c r="D98" t="s">
        <v>100</v>
      </c>
      <c r="E98" t="s">
        <v>88</v>
      </c>
      <c r="F98" t="s">
        <v>48</v>
      </c>
      <c r="G98">
        <v>1</v>
      </c>
      <c r="H98" s="54"/>
      <c r="I98" s="54"/>
      <c r="J98" s="9">
        <f>IF(I98="Staff",LOOKUP(F98,'Pattern lookup'!$A$4:$A$29,'Pattern lookup'!$D$4:$D$17),0)</f>
        <v>0</v>
      </c>
    </row>
    <row r="99" spans="1:10" x14ac:dyDescent="0.2">
      <c r="A99" t="s">
        <v>188</v>
      </c>
      <c r="B99" t="s">
        <v>195</v>
      </c>
      <c r="C99" t="s">
        <v>99</v>
      </c>
      <c r="D99" t="s">
        <v>100</v>
      </c>
      <c r="E99" t="s">
        <v>87</v>
      </c>
      <c r="F99" t="s">
        <v>47</v>
      </c>
      <c r="G99">
        <v>1</v>
      </c>
      <c r="H99" s="54"/>
      <c r="I99" s="54"/>
      <c r="J99" s="9">
        <f>IF(I99="Staff",LOOKUP(F99,'Pattern lookup'!$A$4:$A$29,'Pattern lookup'!$D$4:$D$17),0)</f>
        <v>0</v>
      </c>
    </row>
    <row r="100" spans="1:10" x14ac:dyDescent="0.2">
      <c r="A100" t="s">
        <v>188</v>
      </c>
      <c r="B100" t="s">
        <v>195</v>
      </c>
      <c r="C100" t="s">
        <v>99</v>
      </c>
      <c r="D100" t="s">
        <v>100</v>
      </c>
      <c r="E100" t="s">
        <v>87</v>
      </c>
      <c r="F100" t="s">
        <v>47</v>
      </c>
      <c r="G100">
        <v>2</v>
      </c>
      <c r="H100" s="54"/>
      <c r="I100" s="54"/>
      <c r="J100" s="9">
        <f>IF(I100="Staff",LOOKUP(F100,'Pattern lookup'!$A$4:$A$29,'Pattern lookup'!$D$4:$D$17),0)</f>
        <v>0</v>
      </c>
    </row>
    <row r="101" spans="1:10" x14ac:dyDescent="0.2">
      <c r="A101" t="s">
        <v>188</v>
      </c>
      <c r="B101" t="s">
        <v>195</v>
      </c>
      <c r="C101" t="s">
        <v>99</v>
      </c>
      <c r="D101" t="s">
        <v>100</v>
      </c>
      <c r="E101" t="s">
        <v>88</v>
      </c>
      <c r="F101" t="s">
        <v>48</v>
      </c>
      <c r="G101">
        <v>1</v>
      </c>
      <c r="H101" s="54"/>
      <c r="I101" s="54"/>
      <c r="J101" s="9">
        <f>IF(I101="Staff",LOOKUP(F101,'Pattern lookup'!$A$4:$A$29,'Pattern lookup'!$D$4:$D$17),0)</f>
        <v>0</v>
      </c>
    </row>
    <row r="102" spans="1:10" x14ac:dyDescent="0.2">
      <c r="A102" t="s">
        <v>149</v>
      </c>
      <c r="B102" t="s">
        <v>150</v>
      </c>
      <c r="C102" t="s">
        <v>108</v>
      </c>
      <c r="D102" t="s">
        <v>100</v>
      </c>
      <c r="E102" t="s">
        <v>87</v>
      </c>
      <c r="F102" t="s">
        <v>47</v>
      </c>
      <c r="G102">
        <v>1</v>
      </c>
      <c r="H102" s="54"/>
      <c r="I102" s="54"/>
      <c r="J102" s="9">
        <f>IF(I102="Staff",LOOKUP(F102,'Pattern lookup'!$A$4:$A$29,'Pattern lookup'!$D$4:$D$17),0)</f>
        <v>0</v>
      </c>
    </row>
    <row r="103" spans="1:10" x14ac:dyDescent="0.2">
      <c r="A103" t="s">
        <v>149</v>
      </c>
      <c r="B103" t="s">
        <v>150</v>
      </c>
      <c r="C103" t="s">
        <v>108</v>
      </c>
      <c r="D103" t="s">
        <v>100</v>
      </c>
      <c r="E103" t="s">
        <v>87</v>
      </c>
      <c r="F103" t="s">
        <v>47</v>
      </c>
      <c r="G103">
        <v>2</v>
      </c>
      <c r="H103" s="54"/>
      <c r="I103" s="54"/>
      <c r="J103" s="9">
        <f>IF(I103="Staff",LOOKUP(F103,'Pattern lookup'!$A$4:$A$29,'Pattern lookup'!$D$4:$D$17),0)</f>
        <v>0</v>
      </c>
    </row>
    <row r="104" spans="1:10" x14ac:dyDescent="0.2">
      <c r="A104" t="s">
        <v>149</v>
      </c>
      <c r="B104" t="s">
        <v>150</v>
      </c>
      <c r="C104" t="s">
        <v>108</v>
      </c>
      <c r="D104" t="s">
        <v>100</v>
      </c>
      <c r="E104" t="s">
        <v>87</v>
      </c>
      <c r="F104" t="s">
        <v>47</v>
      </c>
      <c r="G104">
        <v>3</v>
      </c>
      <c r="H104" s="54"/>
      <c r="I104" s="54"/>
      <c r="J104" s="9">
        <f>IF(I104="Staff",LOOKUP(F104,'Pattern lookup'!$A$4:$A$29,'Pattern lookup'!$D$4:$D$17),0)</f>
        <v>0</v>
      </c>
    </row>
    <row r="105" spans="1:10" x14ac:dyDescent="0.2">
      <c r="A105" t="s">
        <v>149</v>
      </c>
      <c r="B105" t="s">
        <v>150</v>
      </c>
      <c r="C105" t="s">
        <v>108</v>
      </c>
      <c r="D105" t="s">
        <v>100</v>
      </c>
      <c r="E105" t="s">
        <v>88</v>
      </c>
      <c r="F105" t="s">
        <v>48</v>
      </c>
      <c r="G105">
        <v>1</v>
      </c>
      <c r="H105" s="54"/>
      <c r="I105" s="54"/>
      <c r="J105" s="9">
        <f>IF(I105="Staff",LOOKUP(F105,'Pattern lookup'!$A$4:$A$29,'Pattern lookup'!$D$4:$D$17),0)</f>
        <v>0</v>
      </c>
    </row>
    <row r="106" spans="1:10" x14ac:dyDescent="0.2">
      <c r="A106" t="s">
        <v>151</v>
      </c>
      <c r="B106" t="s">
        <v>152</v>
      </c>
      <c r="C106" t="s">
        <v>99</v>
      </c>
      <c r="D106" t="s">
        <v>100</v>
      </c>
      <c r="E106" t="s">
        <v>87</v>
      </c>
      <c r="F106" t="s">
        <v>47</v>
      </c>
      <c r="G106">
        <v>1</v>
      </c>
      <c r="H106" s="54"/>
      <c r="I106" s="54"/>
      <c r="J106" s="9">
        <f>IF(I106="Staff",LOOKUP(F106,'Pattern lookup'!$A$4:$A$29,'Pattern lookup'!$D$4:$D$17),0)</f>
        <v>0</v>
      </c>
    </row>
    <row r="107" spans="1:10" x14ac:dyDescent="0.2">
      <c r="A107" t="s">
        <v>151</v>
      </c>
      <c r="B107" t="s">
        <v>152</v>
      </c>
      <c r="C107" t="s">
        <v>99</v>
      </c>
      <c r="D107" t="s">
        <v>100</v>
      </c>
      <c r="E107" t="s">
        <v>87</v>
      </c>
      <c r="F107" t="s">
        <v>47</v>
      </c>
      <c r="G107">
        <v>2</v>
      </c>
      <c r="H107" s="54"/>
      <c r="I107" s="54"/>
      <c r="J107" s="9">
        <f>IF(I107="Staff",LOOKUP(F107,'Pattern lookup'!$A$4:$A$29,'Pattern lookup'!$D$4:$D$17),0)</f>
        <v>0</v>
      </c>
    </row>
    <row r="108" spans="1:10" x14ac:dyDescent="0.2">
      <c r="A108" t="s">
        <v>151</v>
      </c>
      <c r="B108" t="s">
        <v>152</v>
      </c>
      <c r="C108" t="s">
        <v>99</v>
      </c>
      <c r="D108" t="s">
        <v>100</v>
      </c>
      <c r="E108" t="s">
        <v>87</v>
      </c>
      <c r="F108" t="s">
        <v>47</v>
      </c>
      <c r="G108">
        <v>3</v>
      </c>
      <c r="H108" s="54"/>
      <c r="I108" s="54"/>
      <c r="J108" s="9">
        <f>IF(I108="Staff",LOOKUP(F108,'Pattern lookup'!$A$4:$A$29,'Pattern lookup'!$D$4:$D$17),0)</f>
        <v>0</v>
      </c>
    </row>
    <row r="109" spans="1:10" x14ac:dyDescent="0.2">
      <c r="A109" t="s">
        <v>151</v>
      </c>
      <c r="B109" t="s">
        <v>152</v>
      </c>
      <c r="C109" t="s">
        <v>99</v>
      </c>
      <c r="D109" t="s">
        <v>100</v>
      </c>
      <c r="E109" t="s">
        <v>87</v>
      </c>
      <c r="F109" t="s">
        <v>47</v>
      </c>
      <c r="G109">
        <v>4</v>
      </c>
      <c r="H109" s="54"/>
      <c r="I109" s="54"/>
      <c r="J109" s="9">
        <f>IF(I109="Staff",LOOKUP(F109,'Pattern lookup'!$A$4:$A$29,'Pattern lookup'!$D$4:$D$17),0)</f>
        <v>0</v>
      </c>
    </row>
    <row r="110" spans="1:10" x14ac:dyDescent="0.2">
      <c r="A110" t="s">
        <v>151</v>
      </c>
      <c r="B110" t="s">
        <v>152</v>
      </c>
      <c r="C110" t="s">
        <v>99</v>
      </c>
      <c r="D110" t="s">
        <v>100</v>
      </c>
      <c r="E110" t="s">
        <v>87</v>
      </c>
      <c r="F110" t="s">
        <v>47</v>
      </c>
      <c r="G110">
        <v>5</v>
      </c>
      <c r="H110" s="54"/>
      <c r="I110" s="54"/>
      <c r="J110" s="9">
        <f>IF(I110="Staff",LOOKUP(F110,'Pattern lookup'!$A$4:$A$29,'Pattern lookup'!$D$4:$D$17),0)</f>
        <v>0</v>
      </c>
    </row>
    <row r="111" spans="1:10" x14ac:dyDescent="0.2">
      <c r="A111" t="s">
        <v>151</v>
      </c>
      <c r="B111" t="s">
        <v>152</v>
      </c>
      <c r="C111" t="s">
        <v>99</v>
      </c>
      <c r="D111" t="s">
        <v>100</v>
      </c>
      <c r="E111" t="s">
        <v>87</v>
      </c>
      <c r="F111" t="s">
        <v>47</v>
      </c>
      <c r="G111">
        <v>6</v>
      </c>
      <c r="H111" s="54"/>
      <c r="I111" s="54"/>
      <c r="J111" s="9">
        <f>IF(I111="Staff",LOOKUP(F111,'Pattern lookup'!$A$4:$A$29,'Pattern lookup'!$D$4:$D$17),0)</f>
        <v>0</v>
      </c>
    </row>
    <row r="112" spans="1:10" x14ac:dyDescent="0.2">
      <c r="A112" t="s">
        <v>151</v>
      </c>
      <c r="B112" t="s">
        <v>152</v>
      </c>
      <c r="C112" t="s">
        <v>99</v>
      </c>
      <c r="D112" t="s">
        <v>100</v>
      </c>
      <c r="E112" t="s">
        <v>87</v>
      </c>
      <c r="F112" t="s">
        <v>47</v>
      </c>
      <c r="G112">
        <v>7</v>
      </c>
      <c r="H112" s="54"/>
      <c r="I112" s="54"/>
      <c r="J112" s="9">
        <f>IF(I112="Staff",LOOKUP(F112,'Pattern lookup'!$A$4:$A$29,'Pattern lookup'!$D$4:$D$17),0)</f>
        <v>0</v>
      </c>
    </row>
    <row r="113" spans="1:10" x14ac:dyDescent="0.2">
      <c r="A113" t="s">
        <v>151</v>
      </c>
      <c r="B113" t="s">
        <v>152</v>
      </c>
      <c r="C113" t="s">
        <v>99</v>
      </c>
      <c r="D113" t="s">
        <v>100</v>
      </c>
      <c r="E113" t="s">
        <v>88</v>
      </c>
      <c r="F113" t="s">
        <v>48</v>
      </c>
      <c r="G113">
        <v>1</v>
      </c>
      <c r="H113" s="54"/>
      <c r="I113" s="54"/>
      <c r="J113" s="9">
        <f>IF(I113="Staff",LOOKUP(F113,'Pattern lookup'!$A$4:$A$29,'Pattern lookup'!$D$4:$D$17),0)</f>
        <v>0</v>
      </c>
    </row>
    <row r="114" spans="1:10" x14ac:dyDescent="0.2">
      <c r="A114" t="s">
        <v>151</v>
      </c>
      <c r="B114" t="s">
        <v>152</v>
      </c>
      <c r="C114" t="s">
        <v>99</v>
      </c>
      <c r="D114" t="s">
        <v>107</v>
      </c>
      <c r="E114" t="s">
        <v>87</v>
      </c>
      <c r="F114" t="s">
        <v>56</v>
      </c>
      <c r="G114">
        <v>1</v>
      </c>
      <c r="H114" s="54"/>
      <c r="I114" s="54"/>
      <c r="J114" s="9">
        <f>IF(I114="Staff",LOOKUP(F114,'Pattern lookup'!$A$4:$A$29,'Pattern lookup'!$D$4:$D$17),0)</f>
        <v>0</v>
      </c>
    </row>
    <row r="115" spans="1:10" x14ac:dyDescent="0.2">
      <c r="A115" t="s">
        <v>154</v>
      </c>
      <c r="B115" t="s">
        <v>155</v>
      </c>
      <c r="C115" t="s">
        <v>99</v>
      </c>
      <c r="D115" t="s">
        <v>100</v>
      </c>
      <c r="E115" t="s">
        <v>87</v>
      </c>
      <c r="F115" t="s">
        <v>47</v>
      </c>
      <c r="G115">
        <v>1</v>
      </c>
      <c r="H115" s="54"/>
      <c r="I115" s="54"/>
      <c r="J115" s="9">
        <f>IF(I115="Staff",LOOKUP(F115,'Pattern lookup'!$A$4:$A$29,'Pattern lookup'!$D$4:$D$17),0)</f>
        <v>0</v>
      </c>
    </row>
    <row r="116" spans="1:10" x14ac:dyDescent="0.2">
      <c r="A116" t="s">
        <v>154</v>
      </c>
      <c r="B116" t="s">
        <v>155</v>
      </c>
      <c r="C116" t="s">
        <v>99</v>
      </c>
      <c r="D116" t="s">
        <v>100</v>
      </c>
      <c r="E116" t="s">
        <v>87</v>
      </c>
      <c r="F116" t="s">
        <v>47</v>
      </c>
      <c r="G116">
        <v>2</v>
      </c>
      <c r="H116" s="54"/>
      <c r="I116" s="54"/>
      <c r="J116" s="9">
        <f>IF(I116="Staff",LOOKUP(F116,'Pattern lookup'!$A$4:$A$29,'Pattern lookup'!$D$4:$D$17),0)</f>
        <v>0</v>
      </c>
    </row>
    <row r="117" spans="1:10" x14ac:dyDescent="0.2">
      <c r="A117" t="s">
        <v>154</v>
      </c>
      <c r="B117" t="s">
        <v>155</v>
      </c>
      <c r="C117" t="s">
        <v>99</v>
      </c>
      <c r="D117" t="s">
        <v>100</v>
      </c>
      <c r="E117" t="s">
        <v>88</v>
      </c>
      <c r="F117" t="s">
        <v>48</v>
      </c>
      <c r="G117">
        <v>1</v>
      </c>
      <c r="H117" s="54"/>
      <c r="I117" s="54"/>
      <c r="J117" s="9">
        <f>IF(I117="Staff",LOOKUP(F117,'Pattern lookup'!$A$4:$A$29,'Pattern lookup'!$D$4:$D$17),0)</f>
        <v>0</v>
      </c>
    </row>
    <row r="118" spans="1:10" x14ac:dyDescent="0.2">
      <c r="A118" t="s">
        <v>156</v>
      </c>
      <c r="B118" t="s">
        <v>157</v>
      </c>
      <c r="C118" t="s">
        <v>108</v>
      </c>
      <c r="D118" t="s">
        <v>100</v>
      </c>
      <c r="E118" t="s">
        <v>87</v>
      </c>
      <c r="F118" t="s">
        <v>47</v>
      </c>
      <c r="G118">
        <v>1</v>
      </c>
      <c r="H118" s="54"/>
      <c r="I118" s="54"/>
      <c r="J118" s="9">
        <f>IF(I118="Staff",LOOKUP(F118,'Pattern lookup'!$A$4:$A$29,'Pattern lookup'!$D$4:$D$17),0)</f>
        <v>0</v>
      </c>
    </row>
    <row r="119" spans="1:10" x14ac:dyDescent="0.2">
      <c r="A119" t="s">
        <v>156</v>
      </c>
      <c r="B119" t="s">
        <v>157</v>
      </c>
      <c r="C119" t="s">
        <v>108</v>
      </c>
      <c r="D119" t="s">
        <v>100</v>
      </c>
      <c r="E119" t="s">
        <v>87</v>
      </c>
      <c r="F119" t="s">
        <v>47</v>
      </c>
      <c r="G119">
        <v>2</v>
      </c>
      <c r="H119" s="54"/>
      <c r="I119" s="54"/>
      <c r="J119" s="9">
        <f>IF(I119="Staff",LOOKUP(F119,'Pattern lookup'!$A$4:$A$29,'Pattern lookup'!$D$4:$D$17),0)</f>
        <v>0</v>
      </c>
    </row>
    <row r="120" spans="1:10" x14ac:dyDescent="0.2">
      <c r="A120" t="s">
        <v>156</v>
      </c>
      <c r="B120" t="s">
        <v>157</v>
      </c>
      <c r="C120" t="s">
        <v>108</v>
      </c>
      <c r="D120" t="s">
        <v>100</v>
      </c>
      <c r="E120" t="s">
        <v>87</v>
      </c>
      <c r="F120" t="s">
        <v>47</v>
      </c>
      <c r="G120">
        <v>3</v>
      </c>
      <c r="H120" s="54"/>
      <c r="I120" s="54"/>
      <c r="J120" s="9">
        <f>IF(I120="Staff",LOOKUP(F120,'Pattern lookup'!$A$4:$A$29,'Pattern lookup'!$D$4:$D$17),0)</f>
        <v>0</v>
      </c>
    </row>
    <row r="121" spans="1:10" x14ac:dyDescent="0.2">
      <c r="A121" t="s">
        <v>156</v>
      </c>
      <c r="B121" t="s">
        <v>157</v>
      </c>
      <c r="C121" t="s">
        <v>108</v>
      </c>
      <c r="D121" t="s">
        <v>100</v>
      </c>
      <c r="E121" t="s">
        <v>87</v>
      </c>
      <c r="F121" t="s">
        <v>47</v>
      </c>
      <c r="G121">
        <v>4</v>
      </c>
      <c r="H121" s="54"/>
      <c r="I121" s="54"/>
      <c r="J121" s="9">
        <f>IF(I121="Staff",LOOKUP(F121,'Pattern lookup'!$A$4:$A$29,'Pattern lookup'!$D$4:$D$17),0)</f>
        <v>0</v>
      </c>
    </row>
    <row r="122" spans="1:10" x14ac:dyDescent="0.2">
      <c r="A122" t="s">
        <v>156</v>
      </c>
      <c r="B122" t="s">
        <v>157</v>
      </c>
      <c r="C122" t="s">
        <v>108</v>
      </c>
      <c r="D122" t="s">
        <v>100</v>
      </c>
      <c r="E122" t="s">
        <v>87</v>
      </c>
      <c r="F122" t="s">
        <v>47</v>
      </c>
      <c r="G122">
        <v>5</v>
      </c>
      <c r="H122" s="54"/>
      <c r="I122" s="54"/>
      <c r="J122" s="9">
        <f>IF(I122="Staff",LOOKUP(F122,'Pattern lookup'!$A$4:$A$29,'Pattern lookup'!$D$4:$D$17),0)</f>
        <v>0</v>
      </c>
    </row>
    <row r="123" spans="1:10" x14ac:dyDescent="0.2">
      <c r="A123" t="s">
        <v>156</v>
      </c>
      <c r="B123" t="s">
        <v>157</v>
      </c>
      <c r="C123" t="s">
        <v>108</v>
      </c>
      <c r="D123" t="s">
        <v>100</v>
      </c>
      <c r="E123" t="s">
        <v>87</v>
      </c>
      <c r="F123" t="s">
        <v>47</v>
      </c>
      <c r="G123">
        <v>6</v>
      </c>
      <c r="H123" s="54"/>
      <c r="I123" s="54"/>
      <c r="J123" s="9">
        <f>IF(I123="Staff",LOOKUP(F123,'Pattern lookup'!$A$4:$A$29,'Pattern lookup'!$D$4:$D$17),0)</f>
        <v>0</v>
      </c>
    </row>
    <row r="124" spans="1:10" x14ac:dyDescent="0.2">
      <c r="A124" t="s">
        <v>156</v>
      </c>
      <c r="B124" t="s">
        <v>157</v>
      </c>
      <c r="C124" t="s">
        <v>108</v>
      </c>
      <c r="D124" t="s">
        <v>100</v>
      </c>
      <c r="E124" t="s">
        <v>88</v>
      </c>
      <c r="F124" t="s">
        <v>48</v>
      </c>
      <c r="G124">
        <v>1</v>
      </c>
      <c r="H124" s="54"/>
      <c r="I124" s="54"/>
      <c r="J124" s="9">
        <f>IF(I124="Staff",LOOKUP(F124,'Pattern lookup'!$A$4:$A$29,'Pattern lookup'!$D$4:$D$17),0)</f>
        <v>0</v>
      </c>
    </row>
    <row r="125" spans="1:10" x14ac:dyDescent="0.2">
      <c r="A125" t="s">
        <v>156</v>
      </c>
      <c r="B125" t="s">
        <v>157</v>
      </c>
      <c r="C125" t="s">
        <v>108</v>
      </c>
      <c r="D125" t="s">
        <v>100</v>
      </c>
      <c r="E125" t="s">
        <v>88</v>
      </c>
      <c r="F125" t="s">
        <v>48</v>
      </c>
      <c r="G125">
        <v>2</v>
      </c>
      <c r="H125" s="54"/>
      <c r="I125" s="54"/>
      <c r="J125" s="9">
        <f>IF(I125="Staff",LOOKUP(F125,'Pattern lookup'!$A$4:$A$29,'Pattern lookup'!$D$4:$D$17),0)</f>
        <v>0</v>
      </c>
    </row>
    <row r="126" spans="1:10" x14ac:dyDescent="0.2">
      <c r="A126" t="s">
        <v>156</v>
      </c>
      <c r="B126" t="s">
        <v>157</v>
      </c>
      <c r="C126" t="s">
        <v>108</v>
      </c>
      <c r="D126" t="s">
        <v>107</v>
      </c>
      <c r="E126" t="s">
        <v>87</v>
      </c>
      <c r="F126" t="s">
        <v>56</v>
      </c>
      <c r="G126">
        <v>1</v>
      </c>
      <c r="H126" s="54"/>
      <c r="I126" s="54"/>
      <c r="J126" s="9">
        <f>IF(I126="Staff",LOOKUP(F126,'Pattern lookup'!$A$4:$A$29,'Pattern lookup'!$D$4:$D$17),0)</f>
        <v>0</v>
      </c>
    </row>
    <row r="127" spans="1:10" x14ac:dyDescent="0.2">
      <c r="A127" t="s">
        <v>158</v>
      </c>
      <c r="B127" t="s">
        <v>159</v>
      </c>
      <c r="C127" t="s">
        <v>108</v>
      </c>
      <c r="D127" t="s">
        <v>100</v>
      </c>
      <c r="E127" t="s">
        <v>87</v>
      </c>
      <c r="F127" t="s">
        <v>47</v>
      </c>
      <c r="G127">
        <v>1</v>
      </c>
      <c r="H127" s="54"/>
      <c r="I127" s="54"/>
      <c r="J127" s="9">
        <f>IF(I127="Staff",LOOKUP(F127,'Pattern lookup'!$A$4:$A$29,'Pattern lookup'!$D$4:$D$17),0)</f>
        <v>0</v>
      </c>
    </row>
    <row r="128" spans="1:10" x14ac:dyDescent="0.2">
      <c r="A128" t="s">
        <v>158</v>
      </c>
      <c r="B128" t="s">
        <v>159</v>
      </c>
      <c r="C128" t="s">
        <v>108</v>
      </c>
      <c r="D128" t="s">
        <v>100</v>
      </c>
      <c r="E128" t="s">
        <v>87</v>
      </c>
      <c r="F128" t="s">
        <v>47</v>
      </c>
      <c r="G128">
        <v>2</v>
      </c>
      <c r="H128" s="54"/>
      <c r="I128" s="54"/>
      <c r="J128" s="9">
        <f>IF(I128="Staff",LOOKUP(F128,'Pattern lookup'!$A$4:$A$29,'Pattern lookup'!$D$4:$D$17),0)</f>
        <v>0</v>
      </c>
    </row>
    <row r="129" spans="1:10" x14ac:dyDescent="0.2">
      <c r="A129" t="s">
        <v>158</v>
      </c>
      <c r="B129" t="s">
        <v>159</v>
      </c>
      <c r="C129" t="s">
        <v>108</v>
      </c>
      <c r="D129" t="s">
        <v>100</v>
      </c>
      <c r="E129" t="s">
        <v>88</v>
      </c>
      <c r="F129" t="s">
        <v>48</v>
      </c>
      <c r="G129">
        <v>1</v>
      </c>
      <c r="H129" s="54"/>
      <c r="I129" s="54"/>
      <c r="J129" s="9">
        <f>IF(I129="Staff",LOOKUP(F129,'Pattern lookup'!$A$4:$A$29,'Pattern lookup'!$D$4:$D$17),0)</f>
        <v>0</v>
      </c>
    </row>
    <row r="130" spans="1:10" x14ac:dyDescent="0.2">
      <c r="A130" t="s">
        <v>160</v>
      </c>
      <c r="B130" t="s">
        <v>161</v>
      </c>
      <c r="C130" t="s">
        <v>108</v>
      </c>
      <c r="D130" t="s">
        <v>100</v>
      </c>
      <c r="E130" t="s">
        <v>87</v>
      </c>
      <c r="F130" t="s">
        <v>47</v>
      </c>
      <c r="G130">
        <v>1</v>
      </c>
      <c r="H130" s="54"/>
      <c r="I130" s="54"/>
      <c r="J130" s="9">
        <f>IF(I130="Staff",LOOKUP(F130,'Pattern lookup'!$A$4:$A$29,'Pattern lookup'!$D$4:$D$17),0)</f>
        <v>0</v>
      </c>
    </row>
    <row r="131" spans="1:10" x14ac:dyDescent="0.2">
      <c r="A131" t="s">
        <v>160</v>
      </c>
      <c r="B131" t="s">
        <v>161</v>
      </c>
      <c r="C131" t="s">
        <v>108</v>
      </c>
      <c r="D131" t="s">
        <v>100</v>
      </c>
      <c r="E131" t="s">
        <v>87</v>
      </c>
      <c r="F131" t="s">
        <v>47</v>
      </c>
      <c r="G131">
        <v>2</v>
      </c>
      <c r="H131" s="54"/>
      <c r="I131" s="54"/>
      <c r="J131" s="9">
        <f>IF(I131="Staff",LOOKUP(F131,'Pattern lookup'!$A$4:$A$29,'Pattern lookup'!$D$4:$D$17),0)</f>
        <v>0</v>
      </c>
    </row>
    <row r="132" spans="1:10" x14ac:dyDescent="0.2">
      <c r="A132" t="s">
        <v>160</v>
      </c>
      <c r="B132" t="s">
        <v>161</v>
      </c>
      <c r="C132" t="s">
        <v>108</v>
      </c>
      <c r="D132" t="s">
        <v>100</v>
      </c>
      <c r="E132" t="s">
        <v>87</v>
      </c>
      <c r="F132" t="s">
        <v>47</v>
      </c>
      <c r="G132">
        <v>3</v>
      </c>
      <c r="H132" s="54"/>
      <c r="I132" s="54"/>
      <c r="J132" s="9">
        <f>IF(I132="Staff",LOOKUP(F132,'Pattern lookup'!$A$4:$A$29,'Pattern lookup'!$D$4:$D$17),0)</f>
        <v>0</v>
      </c>
    </row>
    <row r="133" spans="1:10" x14ac:dyDescent="0.2">
      <c r="A133" t="s">
        <v>160</v>
      </c>
      <c r="B133" t="s">
        <v>161</v>
      </c>
      <c r="C133" t="s">
        <v>108</v>
      </c>
      <c r="D133" t="s">
        <v>100</v>
      </c>
      <c r="E133" t="s">
        <v>88</v>
      </c>
      <c r="F133" t="s">
        <v>48</v>
      </c>
      <c r="G133">
        <v>1</v>
      </c>
      <c r="H133" s="54"/>
      <c r="I133" s="54"/>
      <c r="J133" s="9">
        <f>IF(I133="Staff",LOOKUP(F133,'Pattern lookup'!$A$4:$A$29,'Pattern lookup'!$D$4:$D$17),0)</f>
        <v>0</v>
      </c>
    </row>
    <row r="134" spans="1:10" x14ac:dyDescent="0.2">
      <c r="A134" t="s">
        <v>162</v>
      </c>
      <c r="B134" t="s">
        <v>163</v>
      </c>
      <c r="C134" t="s">
        <v>99</v>
      </c>
      <c r="D134" t="s">
        <v>100</v>
      </c>
      <c r="E134" t="s">
        <v>87</v>
      </c>
      <c r="F134" t="s">
        <v>47</v>
      </c>
      <c r="G134">
        <v>1</v>
      </c>
      <c r="H134" s="54"/>
      <c r="I134" s="54"/>
      <c r="J134" s="9">
        <f>IF(I134="Staff",LOOKUP(F134,'Pattern lookup'!$A$4:$A$29,'Pattern lookup'!$D$4:$D$17),0)</f>
        <v>0</v>
      </c>
    </row>
    <row r="135" spans="1:10" x14ac:dyDescent="0.2">
      <c r="A135" t="s">
        <v>162</v>
      </c>
      <c r="B135" t="s">
        <v>163</v>
      </c>
      <c r="C135" t="s">
        <v>99</v>
      </c>
      <c r="D135" t="s">
        <v>100</v>
      </c>
      <c r="E135" t="s">
        <v>88</v>
      </c>
      <c r="F135" t="s">
        <v>48</v>
      </c>
      <c r="G135">
        <v>1</v>
      </c>
      <c r="H135" s="54"/>
      <c r="I135" s="54"/>
      <c r="J135" s="9">
        <f>IF(I135="Staff",LOOKUP(F135,'Pattern lookup'!$A$4:$A$29,'Pattern lookup'!$D$4:$D$17),0)</f>
        <v>0</v>
      </c>
    </row>
    <row r="136" spans="1:10" x14ac:dyDescent="0.2">
      <c r="A136" t="s">
        <v>164</v>
      </c>
      <c r="B136" t="s">
        <v>165</v>
      </c>
      <c r="C136" t="s">
        <v>108</v>
      </c>
      <c r="D136" t="s">
        <v>100</v>
      </c>
      <c r="E136" t="s">
        <v>87</v>
      </c>
      <c r="F136" t="s">
        <v>47</v>
      </c>
      <c r="G136">
        <v>1</v>
      </c>
      <c r="H136" s="54"/>
      <c r="I136" s="54"/>
      <c r="J136" s="9">
        <f>IF(I136="Staff",LOOKUP(F136,'Pattern lookup'!$A$4:$A$29,'Pattern lookup'!$D$4:$D$17),0)</f>
        <v>0</v>
      </c>
    </row>
    <row r="137" spans="1:10" x14ac:dyDescent="0.2">
      <c r="A137" t="s">
        <v>164</v>
      </c>
      <c r="B137" t="s">
        <v>165</v>
      </c>
      <c r="C137" t="s">
        <v>108</v>
      </c>
      <c r="D137" t="s">
        <v>100</v>
      </c>
      <c r="E137" t="s">
        <v>87</v>
      </c>
      <c r="F137" t="s">
        <v>47</v>
      </c>
      <c r="G137">
        <v>2</v>
      </c>
      <c r="H137" s="54"/>
      <c r="I137" s="54"/>
      <c r="J137" s="9">
        <f>IF(I137="Staff",LOOKUP(F137,'Pattern lookup'!$A$4:$A$29,'Pattern lookup'!$D$4:$D$17),0)</f>
        <v>0</v>
      </c>
    </row>
    <row r="138" spans="1:10" x14ac:dyDescent="0.2">
      <c r="A138" t="s">
        <v>164</v>
      </c>
      <c r="B138" t="s">
        <v>165</v>
      </c>
      <c r="C138" t="s">
        <v>108</v>
      </c>
      <c r="D138" t="s">
        <v>100</v>
      </c>
      <c r="E138" t="s">
        <v>87</v>
      </c>
      <c r="F138" t="s">
        <v>47</v>
      </c>
      <c r="G138">
        <v>3</v>
      </c>
      <c r="H138" s="54"/>
      <c r="I138" s="54"/>
      <c r="J138" s="9">
        <f>IF(I138="Staff",LOOKUP(F138,'Pattern lookup'!$A$4:$A$29,'Pattern lookup'!$D$4:$D$17),0)</f>
        <v>0</v>
      </c>
    </row>
    <row r="139" spans="1:10" x14ac:dyDescent="0.2">
      <c r="A139" t="s">
        <v>164</v>
      </c>
      <c r="B139" t="s">
        <v>165</v>
      </c>
      <c r="C139" t="s">
        <v>108</v>
      </c>
      <c r="D139" t="s">
        <v>100</v>
      </c>
      <c r="E139" t="s">
        <v>87</v>
      </c>
      <c r="F139" t="s">
        <v>47</v>
      </c>
      <c r="G139">
        <v>4</v>
      </c>
      <c r="H139" s="54"/>
      <c r="I139" s="54"/>
      <c r="J139" s="9">
        <f>IF(I139="Staff",LOOKUP(F139,'Pattern lookup'!$A$4:$A$29,'Pattern lookup'!$D$4:$D$17),0)</f>
        <v>0</v>
      </c>
    </row>
    <row r="140" spans="1:10" x14ac:dyDescent="0.2">
      <c r="A140" t="s">
        <v>164</v>
      </c>
      <c r="B140" t="s">
        <v>165</v>
      </c>
      <c r="C140" t="s">
        <v>108</v>
      </c>
      <c r="D140" t="s">
        <v>100</v>
      </c>
      <c r="E140" t="s">
        <v>88</v>
      </c>
      <c r="F140" t="s">
        <v>48</v>
      </c>
      <c r="G140">
        <v>1</v>
      </c>
      <c r="H140" s="54"/>
      <c r="I140" s="54"/>
      <c r="J140" s="9">
        <f>IF(I140="Staff",LOOKUP(F140,'Pattern lookup'!$A$4:$A$29,'Pattern lookup'!$D$4:$D$17),0)</f>
        <v>0</v>
      </c>
    </row>
    <row r="141" spans="1:10" x14ac:dyDescent="0.2">
      <c r="A141" t="s">
        <v>166</v>
      </c>
      <c r="B141" t="s">
        <v>169</v>
      </c>
      <c r="C141" t="s">
        <v>108</v>
      </c>
      <c r="D141" t="s">
        <v>100</v>
      </c>
      <c r="E141" t="s">
        <v>87</v>
      </c>
      <c r="F141" t="s">
        <v>47</v>
      </c>
      <c r="G141">
        <v>1</v>
      </c>
      <c r="H141" s="54"/>
      <c r="I141" s="54"/>
      <c r="J141" s="9">
        <f>IF(I141="Staff",LOOKUP(F141,'Pattern lookup'!$A$4:$A$29,'Pattern lookup'!$D$4:$D$17),0)</f>
        <v>0</v>
      </c>
    </row>
    <row r="142" spans="1:10" x14ac:dyDescent="0.2">
      <c r="A142" t="s">
        <v>166</v>
      </c>
      <c r="B142" t="s">
        <v>169</v>
      </c>
      <c r="C142" t="s">
        <v>108</v>
      </c>
      <c r="D142" t="s">
        <v>100</v>
      </c>
      <c r="E142" t="s">
        <v>87</v>
      </c>
      <c r="F142" t="s">
        <v>47</v>
      </c>
      <c r="G142">
        <v>2</v>
      </c>
      <c r="H142" s="54"/>
      <c r="I142" s="54"/>
      <c r="J142" s="9">
        <f>IF(I142="Staff",LOOKUP(F142,'Pattern lookup'!$A$4:$A$29,'Pattern lookup'!$D$4:$D$17),0)</f>
        <v>0</v>
      </c>
    </row>
    <row r="143" spans="1:10" x14ac:dyDescent="0.2">
      <c r="A143" t="s">
        <v>166</v>
      </c>
      <c r="B143" t="s">
        <v>169</v>
      </c>
      <c r="C143" t="s">
        <v>108</v>
      </c>
      <c r="D143" t="s">
        <v>100</v>
      </c>
      <c r="E143" t="s">
        <v>87</v>
      </c>
      <c r="F143" t="s">
        <v>47</v>
      </c>
      <c r="G143">
        <v>3</v>
      </c>
      <c r="H143" s="54"/>
      <c r="I143" s="54"/>
      <c r="J143" s="9">
        <f>IF(I143="Staff",LOOKUP(F143,'Pattern lookup'!$A$4:$A$29,'Pattern lookup'!$D$4:$D$17),0)</f>
        <v>0</v>
      </c>
    </row>
    <row r="144" spans="1:10" x14ac:dyDescent="0.2">
      <c r="A144" t="s">
        <v>166</v>
      </c>
      <c r="B144" t="s">
        <v>169</v>
      </c>
      <c r="C144" t="s">
        <v>108</v>
      </c>
      <c r="D144" t="s">
        <v>100</v>
      </c>
      <c r="E144" t="s">
        <v>88</v>
      </c>
      <c r="F144" t="s">
        <v>48</v>
      </c>
      <c r="G144">
        <v>1</v>
      </c>
      <c r="H144" s="54"/>
      <c r="I144" s="54"/>
      <c r="J144" s="9">
        <f>IF(I144="Staff",LOOKUP(F144,'Pattern lookup'!$A$4:$A$29,'Pattern lookup'!$D$4:$D$17),0)</f>
        <v>0</v>
      </c>
    </row>
    <row r="145" spans="1:10" x14ac:dyDescent="0.2">
      <c r="A145" t="s">
        <v>167</v>
      </c>
      <c r="B145" t="s">
        <v>170</v>
      </c>
      <c r="C145" t="s">
        <v>99</v>
      </c>
      <c r="D145" t="s">
        <v>100</v>
      </c>
      <c r="E145" t="s">
        <v>87</v>
      </c>
      <c r="F145" t="s">
        <v>47</v>
      </c>
      <c r="G145">
        <v>1</v>
      </c>
      <c r="H145" s="54"/>
      <c r="I145" s="54"/>
      <c r="J145" s="9">
        <f>IF(I145="Staff",LOOKUP(F145,'Pattern lookup'!$A$4:$A$29,'Pattern lookup'!$D$4:$D$17),0)</f>
        <v>0</v>
      </c>
    </row>
    <row r="146" spans="1:10" x14ac:dyDescent="0.2">
      <c r="A146" t="s">
        <v>167</v>
      </c>
      <c r="B146" t="s">
        <v>170</v>
      </c>
      <c r="C146" t="s">
        <v>99</v>
      </c>
      <c r="D146" t="s">
        <v>100</v>
      </c>
      <c r="E146" t="s">
        <v>87</v>
      </c>
      <c r="F146" t="s">
        <v>47</v>
      </c>
      <c r="G146">
        <v>2</v>
      </c>
      <c r="H146" s="54"/>
      <c r="I146" s="54"/>
      <c r="J146" s="9">
        <f>IF(I146="Staff",LOOKUP(F146,'Pattern lookup'!$A$4:$A$29,'Pattern lookup'!$D$4:$D$17),0)</f>
        <v>0</v>
      </c>
    </row>
    <row r="147" spans="1:10" x14ac:dyDescent="0.2">
      <c r="A147" t="s">
        <v>168</v>
      </c>
      <c r="B147" t="s">
        <v>171</v>
      </c>
      <c r="C147" t="s">
        <v>99</v>
      </c>
      <c r="D147" t="s">
        <v>100</v>
      </c>
      <c r="E147" t="s">
        <v>87</v>
      </c>
      <c r="F147" t="s">
        <v>47</v>
      </c>
      <c r="G147">
        <v>1</v>
      </c>
      <c r="H147" s="54"/>
      <c r="I147" s="54"/>
      <c r="J147" s="9">
        <f>IF(I147="Staff",LOOKUP(F147,'Pattern lookup'!$A$4:$A$29,'Pattern lookup'!$D$4:$D$17),0)</f>
        <v>0</v>
      </c>
    </row>
    <row r="148" spans="1:10" x14ac:dyDescent="0.2">
      <c r="A148" t="s">
        <v>168</v>
      </c>
      <c r="B148" t="s">
        <v>171</v>
      </c>
      <c r="C148" t="s">
        <v>99</v>
      </c>
      <c r="D148" t="s">
        <v>100</v>
      </c>
      <c r="E148" t="s">
        <v>87</v>
      </c>
      <c r="F148" t="s">
        <v>47</v>
      </c>
      <c r="G148">
        <v>2</v>
      </c>
      <c r="H148" s="54"/>
      <c r="I148" s="54"/>
      <c r="J148" s="9">
        <f>IF(I148="Staff",LOOKUP(F148,'Pattern lookup'!$A$4:$A$29,'Pattern lookup'!$D$4:$D$17),0)</f>
        <v>0</v>
      </c>
    </row>
    <row r="149" spans="1:10" x14ac:dyDescent="0.2">
      <c r="A149" t="s">
        <v>168</v>
      </c>
      <c r="B149" t="s">
        <v>171</v>
      </c>
      <c r="C149" t="s">
        <v>99</v>
      </c>
      <c r="D149" t="s">
        <v>100</v>
      </c>
      <c r="E149" t="s">
        <v>87</v>
      </c>
      <c r="F149" t="s">
        <v>47</v>
      </c>
      <c r="G149">
        <v>3</v>
      </c>
      <c r="H149" s="54"/>
      <c r="I149" s="54"/>
      <c r="J149" s="9">
        <f>IF(I149="Staff",LOOKUP(F149,'Pattern lookup'!$A$4:$A$29,'Pattern lookup'!$D$4:$D$17),0)</f>
        <v>0</v>
      </c>
    </row>
    <row r="150" spans="1:10" x14ac:dyDescent="0.2">
      <c r="A150" t="s">
        <v>168</v>
      </c>
      <c r="B150" t="s">
        <v>171</v>
      </c>
      <c r="C150" t="s">
        <v>99</v>
      </c>
      <c r="D150" t="s">
        <v>100</v>
      </c>
      <c r="E150" t="s">
        <v>87</v>
      </c>
      <c r="F150" t="s">
        <v>47</v>
      </c>
      <c r="G150">
        <v>4</v>
      </c>
      <c r="H150" s="54"/>
      <c r="I150" s="54"/>
      <c r="J150" s="9">
        <f>IF(I150="Staff",LOOKUP(F150,'Pattern lookup'!$A$4:$A$29,'Pattern lookup'!$D$4:$D$17),0)</f>
        <v>0</v>
      </c>
    </row>
    <row r="151" spans="1:10" x14ac:dyDescent="0.2">
      <c r="A151" t="s">
        <v>168</v>
      </c>
      <c r="B151" t="s">
        <v>171</v>
      </c>
      <c r="C151" t="s">
        <v>99</v>
      </c>
      <c r="D151" t="s">
        <v>100</v>
      </c>
      <c r="E151" t="s">
        <v>88</v>
      </c>
      <c r="F151" t="s">
        <v>48</v>
      </c>
      <c r="G151">
        <v>1</v>
      </c>
      <c r="H151" s="54"/>
      <c r="I151" s="54"/>
      <c r="J151" s="9">
        <f>IF(I151="Staff",LOOKUP(F151,'Pattern lookup'!$A$4:$A$29,'Pattern lookup'!$D$4:$D$17),0)</f>
        <v>0</v>
      </c>
    </row>
    <row r="152" spans="1:10" x14ac:dyDescent="0.2">
      <c r="A152" t="s">
        <v>168</v>
      </c>
      <c r="B152" t="s">
        <v>171</v>
      </c>
      <c r="C152" t="s">
        <v>99</v>
      </c>
      <c r="D152" t="s">
        <v>107</v>
      </c>
      <c r="E152" t="s">
        <v>87</v>
      </c>
      <c r="F152" t="s">
        <v>56</v>
      </c>
      <c r="G152">
        <v>1</v>
      </c>
      <c r="H152" s="54"/>
      <c r="I152" s="54"/>
      <c r="J152" s="9">
        <f>IF(I152="Staff",LOOKUP(F152,'Pattern lookup'!$A$4:$A$29,'Pattern lookup'!$D$4:$D$17),0)</f>
        <v>0</v>
      </c>
    </row>
    <row r="153" spans="1:10" x14ac:dyDescent="0.2">
      <c r="A153" t="s">
        <v>173</v>
      </c>
      <c r="B153" t="s">
        <v>174</v>
      </c>
      <c r="C153" t="s">
        <v>108</v>
      </c>
      <c r="D153" t="s">
        <v>100</v>
      </c>
      <c r="E153" t="s">
        <v>87</v>
      </c>
      <c r="F153" t="s">
        <v>47</v>
      </c>
      <c r="G153">
        <v>1</v>
      </c>
      <c r="H153" s="54"/>
      <c r="I153" s="54"/>
      <c r="J153" s="9">
        <f>IF(I153="Staff",LOOKUP(F153,'Pattern lookup'!$A$4:$A$29,'Pattern lookup'!$D$4:$D$17),0)</f>
        <v>0</v>
      </c>
    </row>
    <row r="154" spans="1:10" x14ac:dyDescent="0.2">
      <c r="A154" t="s">
        <v>173</v>
      </c>
      <c r="B154" t="s">
        <v>174</v>
      </c>
      <c r="C154" t="s">
        <v>108</v>
      </c>
      <c r="D154" t="s">
        <v>100</v>
      </c>
      <c r="E154" t="s">
        <v>87</v>
      </c>
      <c r="F154" t="s">
        <v>47</v>
      </c>
      <c r="G154">
        <v>2</v>
      </c>
      <c r="H154" s="54"/>
      <c r="I154" s="54"/>
      <c r="J154" s="9">
        <f>IF(I154="Staff",LOOKUP(F154,'Pattern lookup'!$A$4:$A$29,'Pattern lookup'!$D$4:$D$17),0)</f>
        <v>0</v>
      </c>
    </row>
    <row r="155" spans="1:10" x14ac:dyDescent="0.2">
      <c r="A155" t="s">
        <v>173</v>
      </c>
      <c r="B155" t="s">
        <v>174</v>
      </c>
      <c r="C155" t="s">
        <v>108</v>
      </c>
      <c r="D155" t="s">
        <v>100</v>
      </c>
      <c r="E155" t="s">
        <v>87</v>
      </c>
      <c r="F155" t="s">
        <v>47</v>
      </c>
      <c r="G155">
        <v>3</v>
      </c>
      <c r="H155" s="54"/>
      <c r="I155" s="54"/>
      <c r="J155" s="9">
        <f>IF(I155="Staff",LOOKUP(F155,'Pattern lookup'!$A$4:$A$29,'Pattern lookup'!$D$4:$D$17),0)</f>
        <v>0</v>
      </c>
    </row>
    <row r="156" spans="1:10" x14ac:dyDescent="0.2">
      <c r="A156" t="s">
        <v>173</v>
      </c>
      <c r="B156" t="s">
        <v>174</v>
      </c>
      <c r="C156" t="s">
        <v>108</v>
      </c>
      <c r="D156" t="s">
        <v>100</v>
      </c>
      <c r="E156" t="s">
        <v>88</v>
      </c>
      <c r="F156" t="s">
        <v>48</v>
      </c>
      <c r="G156">
        <v>1</v>
      </c>
      <c r="H156" s="54"/>
      <c r="I156" s="54"/>
      <c r="J156" s="9">
        <f>IF(I156="Staff",LOOKUP(F156,'Pattern lookup'!$A$4:$A$29,'Pattern lookup'!$D$4:$D$17),0)</f>
        <v>0</v>
      </c>
    </row>
    <row r="157" spans="1:10" x14ac:dyDescent="0.2">
      <c r="A157" t="s">
        <v>175</v>
      </c>
      <c r="B157" t="s">
        <v>176</v>
      </c>
      <c r="C157" t="s">
        <v>108</v>
      </c>
      <c r="D157" t="s">
        <v>100</v>
      </c>
      <c r="E157" t="s">
        <v>87</v>
      </c>
      <c r="F157" t="s">
        <v>47</v>
      </c>
      <c r="G157">
        <v>1</v>
      </c>
      <c r="H157" s="54"/>
      <c r="I157" s="54"/>
      <c r="J157" s="9">
        <f>IF(I157="Staff",LOOKUP(F157,'Pattern lookup'!$A$4:$A$29,'Pattern lookup'!$D$4:$D$17),0)</f>
        <v>0</v>
      </c>
    </row>
    <row r="158" spans="1:10" x14ac:dyDescent="0.2">
      <c r="A158" t="s">
        <v>175</v>
      </c>
      <c r="B158" t="s">
        <v>176</v>
      </c>
      <c r="C158" t="s">
        <v>108</v>
      </c>
      <c r="D158" t="s">
        <v>100</v>
      </c>
      <c r="E158" t="s">
        <v>87</v>
      </c>
      <c r="F158" t="s">
        <v>47</v>
      </c>
      <c r="G158">
        <v>2</v>
      </c>
      <c r="H158" s="54"/>
      <c r="I158" s="54"/>
      <c r="J158" s="9">
        <f>IF(I158="Staff",LOOKUP(F158,'Pattern lookup'!$A$4:$A$29,'Pattern lookup'!$D$4:$D$17),0)</f>
        <v>0</v>
      </c>
    </row>
    <row r="159" spans="1:10" x14ac:dyDescent="0.2">
      <c r="A159" t="s">
        <v>175</v>
      </c>
      <c r="B159" t="s">
        <v>176</v>
      </c>
      <c r="C159" t="s">
        <v>108</v>
      </c>
      <c r="D159" t="s">
        <v>100</v>
      </c>
      <c r="E159" t="s">
        <v>88</v>
      </c>
      <c r="F159" t="s">
        <v>48</v>
      </c>
      <c r="G159">
        <v>1</v>
      </c>
      <c r="H159" s="54"/>
      <c r="I159" s="54"/>
      <c r="J159" s="9">
        <f>IF(I159="Staff",LOOKUP(F159,'Pattern lookup'!$A$4:$A$29,'Pattern lookup'!$D$4:$D$17),0)</f>
        <v>0</v>
      </c>
    </row>
    <row r="160" spans="1:10" x14ac:dyDescent="0.2">
      <c r="A160" t="s">
        <v>226</v>
      </c>
      <c r="B160" t="s">
        <v>230</v>
      </c>
      <c r="C160" t="s">
        <v>99</v>
      </c>
      <c r="D160" t="s">
        <v>100</v>
      </c>
      <c r="E160" t="s">
        <v>87</v>
      </c>
      <c r="F160" t="s">
        <v>47</v>
      </c>
      <c r="G160">
        <v>1</v>
      </c>
      <c r="H160" s="54"/>
      <c r="I160" s="54"/>
      <c r="J160" s="9">
        <f>IF(I160="Staff",LOOKUP(F160,'Pattern lookup'!$A$4:$A$29,'Pattern lookup'!$D$4:$D$17),0)</f>
        <v>0</v>
      </c>
    </row>
    <row r="161" spans="1:10" x14ac:dyDescent="0.2">
      <c r="A161" t="s">
        <v>226</v>
      </c>
      <c r="B161" t="s">
        <v>230</v>
      </c>
      <c r="C161" t="s">
        <v>99</v>
      </c>
      <c r="D161" t="s">
        <v>100</v>
      </c>
      <c r="E161" t="s">
        <v>87</v>
      </c>
      <c r="F161" t="s">
        <v>47</v>
      </c>
      <c r="G161">
        <v>2</v>
      </c>
      <c r="H161" s="54"/>
      <c r="I161" s="54"/>
      <c r="J161" s="9">
        <f>IF(I161="Staff",LOOKUP(F161,'Pattern lookup'!$A$4:$A$29,'Pattern lookup'!$D$4:$D$17),0)</f>
        <v>0</v>
      </c>
    </row>
    <row r="162" spans="1:10" x14ac:dyDescent="0.2">
      <c r="A162" t="s">
        <v>226</v>
      </c>
      <c r="B162" t="s">
        <v>230</v>
      </c>
      <c r="C162" t="s">
        <v>99</v>
      </c>
      <c r="D162" t="s">
        <v>100</v>
      </c>
      <c r="E162" t="s">
        <v>88</v>
      </c>
      <c r="F162" t="s">
        <v>48</v>
      </c>
      <c r="G162">
        <v>1</v>
      </c>
      <c r="H162" s="54"/>
      <c r="I162" s="54"/>
      <c r="J162" s="9">
        <f>IF(I162="Staff",LOOKUP(F162,'Pattern lookup'!$A$4:$A$29,'Pattern lookup'!$D$4:$D$17),0)</f>
        <v>0</v>
      </c>
    </row>
    <row r="163" spans="1:10" x14ac:dyDescent="0.2">
      <c r="A163" t="s">
        <v>177</v>
      </c>
      <c r="B163" t="s">
        <v>178</v>
      </c>
      <c r="C163" t="s">
        <v>108</v>
      </c>
      <c r="D163" t="s">
        <v>100</v>
      </c>
      <c r="E163" t="s">
        <v>87</v>
      </c>
      <c r="F163" t="s">
        <v>47</v>
      </c>
      <c r="G163">
        <v>1</v>
      </c>
      <c r="H163" s="54"/>
      <c r="I163" s="54"/>
      <c r="J163" s="9">
        <f>IF(I163="Staff",LOOKUP(F163,'Pattern lookup'!$A$4:$A$29,'Pattern lookup'!$D$4:$D$17),0)</f>
        <v>0</v>
      </c>
    </row>
    <row r="164" spans="1:10" x14ac:dyDescent="0.2">
      <c r="A164" t="s">
        <v>177</v>
      </c>
      <c r="B164" t="s">
        <v>178</v>
      </c>
      <c r="C164" t="s">
        <v>108</v>
      </c>
      <c r="D164" t="s">
        <v>100</v>
      </c>
      <c r="E164" t="s">
        <v>87</v>
      </c>
      <c r="F164" t="s">
        <v>47</v>
      </c>
      <c r="G164">
        <v>2</v>
      </c>
      <c r="H164" s="54"/>
      <c r="I164" s="54"/>
      <c r="J164" s="9">
        <f>IF(I164="Staff",LOOKUP(F164,'Pattern lookup'!$A$4:$A$29,'Pattern lookup'!$D$4:$D$17),0)</f>
        <v>0</v>
      </c>
    </row>
    <row r="165" spans="1:10" x14ac:dyDescent="0.2">
      <c r="A165" t="s">
        <v>177</v>
      </c>
      <c r="B165" t="s">
        <v>178</v>
      </c>
      <c r="C165" t="s">
        <v>108</v>
      </c>
      <c r="D165" t="s">
        <v>100</v>
      </c>
      <c r="E165" t="s">
        <v>88</v>
      </c>
      <c r="F165" t="s">
        <v>48</v>
      </c>
      <c r="G165">
        <v>1</v>
      </c>
      <c r="H165" s="54"/>
      <c r="I165" s="54"/>
      <c r="J165" s="9">
        <f>IF(I165="Staff",LOOKUP(F165,'Pattern lookup'!$A$4:$A$29,'Pattern lookup'!$D$4:$D$17),0)</f>
        <v>0</v>
      </c>
    </row>
    <row r="166" spans="1:10" x14ac:dyDescent="0.2">
      <c r="A166" t="s">
        <v>179</v>
      </c>
      <c r="B166" t="s">
        <v>180</v>
      </c>
      <c r="C166" t="s">
        <v>99</v>
      </c>
      <c r="D166" t="s">
        <v>100</v>
      </c>
      <c r="E166" t="s">
        <v>87</v>
      </c>
      <c r="F166" t="s">
        <v>47</v>
      </c>
      <c r="G166">
        <v>1</v>
      </c>
      <c r="H166" s="54"/>
      <c r="I166" s="54"/>
      <c r="J166" s="9">
        <f>IF(I166="Staff",LOOKUP(F166,'Pattern lookup'!$A$4:$A$29,'Pattern lookup'!$D$4:$D$17),0)</f>
        <v>0</v>
      </c>
    </row>
    <row r="167" spans="1:10" x14ac:dyDescent="0.2">
      <c r="A167" t="s">
        <v>179</v>
      </c>
      <c r="B167" t="s">
        <v>180</v>
      </c>
      <c r="C167" t="s">
        <v>99</v>
      </c>
      <c r="D167" t="s">
        <v>100</v>
      </c>
      <c r="E167" t="s">
        <v>87</v>
      </c>
      <c r="F167" t="s">
        <v>47</v>
      </c>
      <c r="G167">
        <v>2</v>
      </c>
      <c r="H167" s="54"/>
      <c r="I167" s="54"/>
      <c r="J167" s="9">
        <f>IF(I167="Staff",LOOKUP(F167,'Pattern lookup'!$A$4:$A$29,'Pattern lookup'!$D$4:$D$17),0)</f>
        <v>0</v>
      </c>
    </row>
    <row r="168" spans="1:10" x14ac:dyDescent="0.2">
      <c r="A168" t="s">
        <v>179</v>
      </c>
      <c r="B168" t="s">
        <v>180</v>
      </c>
      <c r="C168" t="s">
        <v>99</v>
      </c>
      <c r="D168" t="s">
        <v>100</v>
      </c>
      <c r="E168" t="s">
        <v>88</v>
      </c>
      <c r="F168" t="s">
        <v>48</v>
      </c>
      <c r="G168">
        <v>1</v>
      </c>
      <c r="H168" s="54"/>
      <c r="I168" s="54"/>
      <c r="J168" s="9">
        <f>IF(I168="Staff",LOOKUP(F168,'Pattern lookup'!$A$4:$A$29,'Pattern lookup'!$D$4:$D$17),0)</f>
        <v>0</v>
      </c>
    </row>
    <row r="169" spans="1:10" x14ac:dyDescent="0.2">
      <c r="A169" t="s">
        <v>181</v>
      </c>
      <c r="B169" t="s">
        <v>182</v>
      </c>
      <c r="C169" t="s">
        <v>108</v>
      </c>
      <c r="D169" t="s">
        <v>100</v>
      </c>
      <c r="E169" t="s">
        <v>87</v>
      </c>
      <c r="F169" t="s">
        <v>277</v>
      </c>
      <c r="G169">
        <v>1</v>
      </c>
      <c r="H169" s="54"/>
      <c r="I169" s="54"/>
      <c r="J169" s="9">
        <f>IF(I169="Staff",LOOKUP(F169,'Pattern lookup'!$A$4:$A$29,'Pattern lookup'!$D$4:$D$17),0)</f>
        <v>0</v>
      </c>
    </row>
    <row r="170" spans="1:10" x14ac:dyDescent="0.2">
      <c r="A170" t="s">
        <v>181</v>
      </c>
      <c r="B170" t="s">
        <v>182</v>
      </c>
      <c r="C170" t="s">
        <v>108</v>
      </c>
      <c r="D170" t="s">
        <v>100</v>
      </c>
      <c r="E170" t="s">
        <v>88</v>
      </c>
      <c r="F170" t="s">
        <v>287</v>
      </c>
      <c r="G170">
        <v>1</v>
      </c>
      <c r="H170" s="54"/>
      <c r="I170" s="54"/>
      <c r="J170" s="9">
        <f>IF(I170="Staff",LOOKUP(F170,'Pattern lookup'!$A$4:$A$29,'Pattern lookup'!$D$4:$D$17),0)</f>
        <v>0</v>
      </c>
    </row>
    <row r="171" spans="1:10" x14ac:dyDescent="0.2">
      <c r="A171" t="s">
        <v>181</v>
      </c>
      <c r="B171" t="s">
        <v>182</v>
      </c>
      <c r="C171" t="s">
        <v>99</v>
      </c>
      <c r="D171" t="s">
        <v>100</v>
      </c>
      <c r="E171" t="s">
        <v>87</v>
      </c>
      <c r="F171" t="s">
        <v>277</v>
      </c>
      <c r="G171">
        <v>1</v>
      </c>
      <c r="H171" s="54"/>
      <c r="I171" s="54"/>
      <c r="J171" s="9">
        <f>IF(I171="Staff",LOOKUP(F171,'Pattern lookup'!$A$4:$A$29,'Pattern lookup'!$D$4:$D$17),0)</f>
        <v>0</v>
      </c>
    </row>
    <row r="172" spans="1:10" x14ac:dyDescent="0.2">
      <c r="A172" t="s">
        <v>181</v>
      </c>
      <c r="B172" t="s">
        <v>182</v>
      </c>
      <c r="C172" t="s">
        <v>99</v>
      </c>
      <c r="D172" t="s">
        <v>100</v>
      </c>
      <c r="E172" t="s">
        <v>87</v>
      </c>
      <c r="F172" t="s">
        <v>277</v>
      </c>
      <c r="G172">
        <v>2</v>
      </c>
      <c r="H172" s="54"/>
      <c r="I172" s="54"/>
      <c r="J172" s="9">
        <f>IF(I172="Staff",LOOKUP(F172,'Pattern lookup'!$A$4:$A$29,'Pattern lookup'!$D$4:$D$17),0)</f>
        <v>0</v>
      </c>
    </row>
    <row r="173" spans="1:10" x14ac:dyDescent="0.2">
      <c r="A173" t="s">
        <v>181</v>
      </c>
      <c r="B173" t="s">
        <v>182</v>
      </c>
      <c r="C173" t="s">
        <v>99</v>
      </c>
      <c r="D173" t="s">
        <v>100</v>
      </c>
      <c r="E173" t="s">
        <v>87</v>
      </c>
      <c r="F173" t="s">
        <v>277</v>
      </c>
      <c r="G173">
        <v>3</v>
      </c>
      <c r="H173" s="54"/>
      <c r="I173" s="54"/>
      <c r="J173" s="9">
        <f>IF(I173="Staff",LOOKUP(F173,'Pattern lookup'!$A$4:$A$29,'Pattern lookup'!$D$4:$D$17),0)</f>
        <v>0</v>
      </c>
    </row>
    <row r="174" spans="1:10" x14ac:dyDescent="0.2">
      <c r="A174" t="s">
        <v>181</v>
      </c>
      <c r="B174" t="s">
        <v>182</v>
      </c>
      <c r="C174" t="s">
        <v>99</v>
      </c>
      <c r="D174" t="s">
        <v>100</v>
      </c>
      <c r="E174" t="s">
        <v>87</v>
      </c>
      <c r="F174" t="s">
        <v>277</v>
      </c>
      <c r="G174">
        <v>4</v>
      </c>
      <c r="H174" s="54"/>
      <c r="I174" s="54"/>
      <c r="J174" s="9">
        <f>IF(I174="Staff",LOOKUP(F174,'Pattern lookup'!$A$4:$A$29,'Pattern lookup'!$D$4:$D$17),0)</f>
        <v>0</v>
      </c>
    </row>
    <row r="175" spans="1:10" x14ac:dyDescent="0.2">
      <c r="A175" t="s">
        <v>181</v>
      </c>
      <c r="B175" t="s">
        <v>182</v>
      </c>
      <c r="C175" t="s">
        <v>99</v>
      </c>
      <c r="D175" t="s">
        <v>100</v>
      </c>
      <c r="E175" t="s">
        <v>88</v>
      </c>
      <c r="F175" t="s">
        <v>287</v>
      </c>
      <c r="G175">
        <v>1</v>
      </c>
      <c r="H175" s="54"/>
      <c r="I175" s="54"/>
      <c r="J175" s="9">
        <f>IF(I175="Staff",LOOKUP(F175,'Pattern lookup'!$A$4:$A$29,'Pattern lookup'!$D$4:$D$17),0)</f>
        <v>0</v>
      </c>
    </row>
    <row r="176" spans="1:10" x14ac:dyDescent="0.2">
      <c r="A176" t="s">
        <v>189</v>
      </c>
      <c r="B176" t="s">
        <v>196</v>
      </c>
      <c r="C176" t="s">
        <v>108</v>
      </c>
      <c r="D176" t="s">
        <v>100</v>
      </c>
      <c r="E176" t="s">
        <v>87</v>
      </c>
      <c r="F176" t="s">
        <v>47</v>
      </c>
      <c r="G176">
        <v>1</v>
      </c>
      <c r="H176" s="54"/>
      <c r="I176" s="54"/>
      <c r="J176" s="9">
        <f>IF(I176="Staff",LOOKUP(F176,'Pattern lookup'!$A$4:$A$29,'Pattern lookup'!$D$4:$D$17),0)</f>
        <v>0</v>
      </c>
    </row>
    <row r="177" spans="1:10" x14ac:dyDescent="0.2">
      <c r="A177" t="s">
        <v>189</v>
      </c>
      <c r="B177" t="s">
        <v>196</v>
      </c>
      <c r="C177" t="s">
        <v>108</v>
      </c>
      <c r="D177" t="s">
        <v>100</v>
      </c>
      <c r="E177" t="s">
        <v>87</v>
      </c>
      <c r="F177" t="s">
        <v>47</v>
      </c>
      <c r="G177">
        <v>2</v>
      </c>
      <c r="H177" s="54"/>
      <c r="I177" s="54"/>
      <c r="J177" s="9">
        <f>IF(I177="Staff",LOOKUP(F177,'Pattern lookup'!$A$4:$A$29,'Pattern lookup'!$D$4:$D$17),0)</f>
        <v>0</v>
      </c>
    </row>
    <row r="178" spans="1:10" x14ac:dyDescent="0.2">
      <c r="A178" t="s">
        <v>189</v>
      </c>
      <c r="B178" t="s">
        <v>196</v>
      </c>
      <c r="C178" t="s">
        <v>108</v>
      </c>
      <c r="D178" t="s">
        <v>100</v>
      </c>
      <c r="E178" t="s">
        <v>88</v>
      </c>
      <c r="F178" t="s">
        <v>48</v>
      </c>
      <c r="G178">
        <v>1</v>
      </c>
      <c r="H178" s="54"/>
      <c r="I178" s="54"/>
      <c r="J178" s="9">
        <f>IF(I178="Staff",LOOKUP(F178,'Pattern lookup'!$A$4:$A$29,'Pattern lookup'!$D$4:$D$17),0)</f>
        <v>0</v>
      </c>
    </row>
    <row r="179" spans="1:10" x14ac:dyDescent="0.2">
      <c r="A179" t="s">
        <v>217</v>
      </c>
      <c r="B179" t="s">
        <v>231</v>
      </c>
      <c r="C179" t="s">
        <v>108</v>
      </c>
      <c r="D179" t="s">
        <v>100</v>
      </c>
      <c r="E179" t="s">
        <v>87</v>
      </c>
      <c r="F179" t="s">
        <v>277</v>
      </c>
      <c r="G179">
        <v>1</v>
      </c>
      <c r="H179" s="54"/>
      <c r="I179" s="54"/>
      <c r="J179" s="9">
        <f>IF(I179="Staff",LOOKUP(F179,'Pattern lookup'!$A$4:$A$29,'Pattern lookup'!$D$4:$D$17),0)</f>
        <v>0</v>
      </c>
    </row>
    <row r="180" spans="1:10" x14ac:dyDescent="0.2">
      <c r="A180" t="s">
        <v>217</v>
      </c>
      <c r="B180" t="s">
        <v>231</v>
      </c>
      <c r="C180" t="s">
        <v>108</v>
      </c>
      <c r="D180" t="s">
        <v>100</v>
      </c>
      <c r="E180" t="s">
        <v>87</v>
      </c>
      <c r="F180" t="s">
        <v>277</v>
      </c>
      <c r="G180">
        <v>2</v>
      </c>
      <c r="H180" s="54"/>
      <c r="I180" s="54"/>
      <c r="J180" s="9">
        <f>IF(I180="Staff",LOOKUP(F180,'Pattern lookup'!$A$4:$A$29,'Pattern lookup'!$D$4:$D$17),0)</f>
        <v>0</v>
      </c>
    </row>
    <row r="181" spans="1:10" x14ac:dyDescent="0.2">
      <c r="A181" t="s">
        <v>217</v>
      </c>
      <c r="B181" t="s">
        <v>231</v>
      </c>
      <c r="C181" t="s">
        <v>108</v>
      </c>
      <c r="D181" t="s">
        <v>100</v>
      </c>
      <c r="E181" t="s">
        <v>88</v>
      </c>
      <c r="F181" t="s">
        <v>287</v>
      </c>
      <c r="G181">
        <v>1</v>
      </c>
      <c r="H181" s="54"/>
      <c r="I181" s="54"/>
      <c r="J181" s="9">
        <f>IF(I181="Staff",LOOKUP(F181,'Pattern lookup'!$A$4:$A$29,'Pattern lookup'!$D$4:$D$17),0)</f>
        <v>0</v>
      </c>
    </row>
    <row r="182" spans="1:10" x14ac:dyDescent="0.2">
      <c r="A182" t="s">
        <v>217</v>
      </c>
      <c r="B182" t="s">
        <v>231</v>
      </c>
      <c r="C182" t="s">
        <v>99</v>
      </c>
      <c r="D182" t="s">
        <v>100</v>
      </c>
      <c r="E182" t="s">
        <v>87</v>
      </c>
      <c r="F182" t="s">
        <v>277</v>
      </c>
      <c r="G182">
        <v>1</v>
      </c>
      <c r="H182" s="54"/>
      <c r="I182" s="54"/>
      <c r="J182" s="9">
        <f>IF(I182="Staff",LOOKUP(F182,'Pattern lookup'!$A$4:$A$29,'Pattern lookup'!$D$4:$D$17),0)</f>
        <v>0</v>
      </c>
    </row>
    <row r="183" spans="1:10" x14ac:dyDescent="0.2">
      <c r="A183" t="s">
        <v>217</v>
      </c>
      <c r="B183" t="s">
        <v>231</v>
      </c>
      <c r="C183" t="s">
        <v>99</v>
      </c>
      <c r="D183" t="s">
        <v>100</v>
      </c>
      <c r="E183" t="s">
        <v>87</v>
      </c>
      <c r="F183" t="s">
        <v>277</v>
      </c>
      <c r="G183">
        <v>2</v>
      </c>
      <c r="H183" s="54"/>
      <c r="I183" s="54"/>
      <c r="J183" s="9">
        <f>IF(I183="Staff",LOOKUP(F183,'Pattern lookup'!$A$4:$A$29,'Pattern lookup'!$D$4:$D$17),0)</f>
        <v>0</v>
      </c>
    </row>
    <row r="184" spans="1:10" x14ac:dyDescent="0.2">
      <c r="A184" t="s">
        <v>217</v>
      </c>
      <c r="B184" t="s">
        <v>231</v>
      </c>
      <c r="C184" t="s">
        <v>99</v>
      </c>
      <c r="D184" t="s">
        <v>100</v>
      </c>
      <c r="E184" t="s">
        <v>87</v>
      </c>
      <c r="F184" t="s">
        <v>277</v>
      </c>
      <c r="G184">
        <v>3</v>
      </c>
      <c r="H184" s="54"/>
      <c r="I184" s="54"/>
      <c r="J184" s="9">
        <f>IF(I184="Staff",LOOKUP(F184,'Pattern lookup'!$A$4:$A$29,'Pattern lookup'!$D$4:$D$17),0)</f>
        <v>0</v>
      </c>
    </row>
    <row r="185" spans="1:10" x14ac:dyDescent="0.2">
      <c r="A185" t="s">
        <v>217</v>
      </c>
      <c r="B185" t="s">
        <v>231</v>
      </c>
      <c r="C185" t="s">
        <v>99</v>
      </c>
      <c r="D185" t="s">
        <v>100</v>
      </c>
      <c r="E185" t="s">
        <v>87</v>
      </c>
      <c r="F185" t="s">
        <v>277</v>
      </c>
      <c r="G185">
        <v>4</v>
      </c>
      <c r="H185" s="54"/>
      <c r="I185" s="54"/>
      <c r="J185" s="9">
        <f>IF(I185="Staff",LOOKUP(F185,'Pattern lookup'!$A$4:$A$29,'Pattern lookup'!$D$4:$D$17),0)</f>
        <v>0</v>
      </c>
    </row>
    <row r="186" spans="1:10" x14ac:dyDescent="0.2">
      <c r="A186" t="s">
        <v>217</v>
      </c>
      <c r="B186" t="s">
        <v>231</v>
      </c>
      <c r="C186" t="s">
        <v>99</v>
      </c>
      <c r="D186" t="s">
        <v>100</v>
      </c>
      <c r="E186" t="s">
        <v>87</v>
      </c>
      <c r="F186" t="s">
        <v>277</v>
      </c>
      <c r="G186">
        <v>5</v>
      </c>
      <c r="H186" s="54"/>
      <c r="I186" s="54"/>
      <c r="J186" s="9">
        <f>IF(I186="Staff",LOOKUP(F186,'Pattern lookup'!$A$4:$A$29,'Pattern lookup'!$D$4:$D$17),0)</f>
        <v>0</v>
      </c>
    </row>
    <row r="187" spans="1:10" x14ac:dyDescent="0.2">
      <c r="A187" t="s">
        <v>217</v>
      </c>
      <c r="B187" t="s">
        <v>231</v>
      </c>
      <c r="C187" t="s">
        <v>99</v>
      </c>
      <c r="D187" t="s">
        <v>100</v>
      </c>
      <c r="E187" t="s">
        <v>88</v>
      </c>
      <c r="F187" t="s">
        <v>287</v>
      </c>
      <c r="G187">
        <v>1</v>
      </c>
      <c r="H187" s="54"/>
      <c r="I187" s="54"/>
      <c r="J187" s="9">
        <f>IF(I187="Staff",LOOKUP(F187,'Pattern lookup'!$A$4:$A$29,'Pattern lookup'!$D$4:$D$17),0)</f>
        <v>0</v>
      </c>
    </row>
    <row r="188" spans="1:10" x14ac:dyDescent="0.2">
      <c r="A188" t="s">
        <v>187</v>
      </c>
      <c r="B188" t="s">
        <v>197</v>
      </c>
      <c r="C188" t="s">
        <v>108</v>
      </c>
      <c r="D188" t="s">
        <v>100</v>
      </c>
      <c r="E188" t="s">
        <v>87</v>
      </c>
      <c r="F188" t="s">
        <v>47</v>
      </c>
      <c r="G188">
        <v>1</v>
      </c>
      <c r="H188" s="54"/>
      <c r="I188" s="54"/>
      <c r="J188" s="9">
        <f>IF(I188="Staff",LOOKUP(F188,'Pattern lookup'!$A$4:$A$29,'Pattern lookup'!$D$4:$D$17),0)</f>
        <v>0</v>
      </c>
    </row>
    <row r="189" spans="1:10" x14ac:dyDescent="0.2">
      <c r="A189" t="s">
        <v>187</v>
      </c>
      <c r="B189" t="s">
        <v>197</v>
      </c>
      <c r="C189" t="s">
        <v>108</v>
      </c>
      <c r="D189" t="s">
        <v>100</v>
      </c>
      <c r="E189" t="s">
        <v>88</v>
      </c>
      <c r="F189" t="s">
        <v>48</v>
      </c>
      <c r="G189">
        <v>1</v>
      </c>
      <c r="H189" s="54"/>
      <c r="I189" s="54"/>
      <c r="J189" s="9">
        <f>IF(I189="Staff",LOOKUP(F189,'Pattern lookup'!$A$4:$A$29,'Pattern lookup'!$D$4:$D$17),0)</f>
        <v>0</v>
      </c>
    </row>
    <row r="190" spans="1:10" x14ac:dyDescent="0.2">
      <c r="A190" t="s">
        <v>186</v>
      </c>
      <c r="B190" t="s">
        <v>198</v>
      </c>
      <c r="C190" t="s">
        <v>108</v>
      </c>
      <c r="D190" t="s">
        <v>100</v>
      </c>
      <c r="E190" t="s">
        <v>87</v>
      </c>
      <c r="F190" t="s">
        <v>47</v>
      </c>
      <c r="G190">
        <v>1</v>
      </c>
      <c r="H190" s="54"/>
      <c r="I190" s="54"/>
      <c r="J190" s="9">
        <f>IF(I190="Staff",LOOKUP(F190,'Pattern lookup'!$A$4:$A$29,'Pattern lookup'!$D$4:$D$17),0)</f>
        <v>0</v>
      </c>
    </row>
    <row r="191" spans="1:10" x14ac:dyDescent="0.2">
      <c r="A191" t="s">
        <v>186</v>
      </c>
      <c r="B191" t="s">
        <v>198</v>
      </c>
      <c r="C191" t="s">
        <v>108</v>
      </c>
      <c r="D191" t="s">
        <v>100</v>
      </c>
      <c r="E191" t="s">
        <v>88</v>
      </c>
      <c r="F191" t="s">
        <v>48</v>
      </c>
      <c r="G191">
        <v>1</v>
      </c>
      <c r="H191" s="54"/>
      <c r="I191" s="54"/>
      <c r="J191" s="9">
        <f>IF(I191="Staff",LOOKUP(F191,'Pattern lookup'!$A$4:$A$29,'Pattern lookup'!$D$4:$D$17),0)</f>
        <v>0</v>
      </c>
    </row>
    <row r="192" spans="1:10" x14ac:dyDescent="0.2">
      <c r="A192" t="s">
        <v>184</v>
      </c>
      <c r="B192" t="s">
        <v>199</v>
      </c>
      <c r="C192" t="s">
        <v>99</v>
      </c>
      <c r="D192" t="s">
        <v>100</v>
      </c>
      <c r="E192" t="s">
        <v>87</v>
      </c>
      <c r="F192" t="s">
        <v>47</v>
      </c>
      <c r="G192">
        <v>1</v>
      </c>
      <c r="H192" s="54"/>
      <c r="I192" s="54"/>
      <c r="J192" s="9">
        <f>IF(I192="Staff",LOOKUP(F192,'Pattern lookup'!$A$4:$A$29,'Pattern lookup'!$D$4:$D$17),0)</f>
        <v>0</v>
      </c>
    </row>
    <row r="193" spans="1:10" x14ac:dyDescent="0.2">
      <c r="A193" t="s">
        <v>184</v>
      </c>
      <c r="B193" t="s">
        <v>199</v>
      </c>
      <c r="C193" t="s">
        <v>99</v>
      </c>
      <c r="D193" t="s">
        <v>100</v>
      </c>
      <c r="E193" t="s">
        <v>87</v>
      </c>
      <c r="F193" t="s">
        <v>47</v>
      </c>
      <c r="G193">
        <v>2</v>
      </c>
      <c r="H193" s="54"/>
      <c r="I193" s="54"/>
      <c r="J193" s="9">
        <f>IF(I193="Staff",LOOKUP(F193,'Pattern lookup'!$A$4:$A$29,'Pattern lookup'!$D$4:$D$17),0)</f>
        <v>0</v>
      </c>
    </row>
    <row r="194" spans="1:10" x14ac:dyDescent="0.2">
      <c r="A194" t="s">
        <v>184</v>
      </c>
      <c r="B194" t="s">
        <v>199</v>
      </c>
      <c r="C194" t="s">
        <v>99</v>
      </c>
      <c r="D194" t="s">
        <v>100</v>
      </c>
      <c r="E194" t="s">
        <v>88</v>
      </c>
      <c r="F194" t="s">
        <v>48</v>
      </c>
      <c r="G194">
        <v>1</v>
      </c>
      <c r="H194" s="54"/>
      <c r="I194" s="54"/>
      <c r="J194" s="9">
        <f>IF(I194="Staff",LOOKUP(F194,'Pattern lookup'!$A$4:$A$29,'Pattern lookup'!$D$4:$D$17),0)</f>
        <v>0</v>
      </c>
    </row>
    <row r="195" spans="1:10" x14ac:dyDescent="0.2">
      <c r="A195" t="s">
        <v>191</v>
      </c>
      <c r="B195" t="s">
        <v>200</v>
      </c>
      <c r="C195" t="s">
        <v>99</v>
      </c>
      <c r="D195" t="s">
        <v>100</v>
      </c>
      <c r="E195" t="s">
        <v>87</v>
      </c>
      <c r="F195" t="s">
        <v>47</v>
      </c>
      <c r="G195">
        <v>1</v>
      </c>
      <c r="H195" s="54"/>
      <c r="I195" s="54"/>
      <c r="J195" s="9">
        <f>IF(I195="Staff",LOOKUP(F195,'Pattern lookup'!$A$4:$A$29,'Pattern lookup'!$D$4:$D$17),0)</f>
        <v>0</v>
      </c>
    </row>
    <row r="196" spans="1:10" x14ac:dyDescent="0.2">
      <c r="A196" t="s">
        <v>194</v>
      </c>
      <c r="B196" t="s">
        <v>201</v>
      </c>
      <c r="C196" t="s">
        <v>99</v>
      </c>
      <c r="D196" t="s">
        <v>100</v>
      </c>
      <c r="E196" t="s">
        <v>87</v>
      </c>
      <c r="F196" t="s">
        <v>47</v>
      </c>
      <c r="G196">
        <v>1</v>
      </c>
      <c r="H196" s="54"/>
      <c r="I196" s="54"/>
      <c r="J196" s="9">
        <f>IF(I196="Staff",LOOKUP(F196,'Pattern lookup'!$A$4:$A$29,'Pattern lookup'!$D$4:$D$17),0)</f>
        <v>0</v>
      </c>
    </row>
    <row r="197" spans="1:10" x14ac:dyDescent="0.2">
      <c r="A197" t="s">
        <v>194</v>
      </c>
      <c r="B197" t="s">
        <v>201</v>
      </c>
      <c r="C197" t="s">
        <v>99</v>
      </c>
      <c r="D197" t="s">
        <v>100</v>
      </c>
      <c r="E197" t="s">
        <v>87</v>
      </c>
      <c r="F197" t="s">
        <v>47</v>
      </c>
      <c r="G197">
        <v>2</v>
      </c>
      <c r="H197" s="54"/>
      <c r="I197" s="54"/>
      <c r="J197" s="9">
        <f>IF(I197="Staff",LOOKUP(F197,'Pattern lookup'!$A$4:$A$29,'Pattern lookup'!$D$4:$D$17),0)</f>
        <v>0</v>
      </c>
    </row>
    <row r="198" spans="1:10" x14ac:dyDescent="0.2">
      <c r="A198" t="s">
        <v>185</v>
      </c>
      <c r="B198" t="s">
        <v>202</v>
      </c>
      <c r="C198" t="s">
        <v>108</v>
      </c>
      <c r="D198" t="s">
        <v>100</v>
      </c>
      <c r="E198" t="s">
        <v>87</v>
      </c>
      <c r="F198" t="s">
        <v>47</v>
      </c>
      <c r="G198">
        <v>1</v>
      </c>
      <c r="H198" s="54"/>
      <c r="I198" s="54"/>
      <c r="J198" s="9">
        <f>IF(I198="Staff",LOOKUP(F198,'Pattern lookup'!$A$4:$A$29,'Pattern lookup'!$D$4:$D$17),0)</f>
        <v>0</v>
      </c>
    </row>
    <row r="199" spans="1:10" x14ac:dyDescent="0.2">
      <c r="A199" t="s">
        <v>185</v>
      </c>
      <c r="B199" t="s">
        <v>202</v>
      </c>
      <c r="C199" t="s">
        <v>108</v>
      </c>
      <c r="D199" t="s">
        <v>100</v>
      </c>
      <c r="E199" t="s">
        <v>87</v>
      </c>
      <c r="F199" t="s">
        <v>47</v>
      </c>
      <c r="G199">
        <v>2</v>
      </c>
      <c r="H199" s="54"/>
      <c r="I199" s="54"/>
      <c r="J199" s="9">
        <f>IF(I199="Staff",LOOKUP(F199,'Pattern lookup'!$A$4:$A$29,'Pattern lookup'!$D$4:$D$17),0)</f>
        <v>0</v>
      </c>
    </row>
    <row r="200" spans="1:10" x14ac:dyDescent="0.2">
      <c r="A200" t="s">
        <v>185</v>
      </c>
      <c r="B200" t="s">
        <v>202</v>
      </c>
      <c r="C200" t="s">
        <v>108</v>
      </c>
      <c r="D200" t="s">
        <v>100</v>
      </c>
      <c r="E200" t="s">
        <v>88</v>
      </c>
      <c r="F200" t="s">
        <v>48</v>
      </c>
      <c r="G200">
        <v>1</v>
      </c>
      <c r="H200" s="54"/>
      <c r="I200" s="54"/>
      <c r="J200" s="9">
        <f>IF(I200="Staff",LOOKUP(F200,'Pattern lookup'!$A$4:$A$29,'Pattern lookup'!$D$4:$D$17),0)</f>
        <v>0</v>
      </c>
    </row>
    <row r="201" spans="1:10" x14ac:dyDescent="0.2">
      <c r="A201" t="s">
        <v>183</v>
      </c>
      <c r="B201" t="s">
        <v>203</v>
      </c>
      <c r="C201" t="s">
        <v>99</v>
      </c>
      <c r="D201" t="s">
        <v>100</v>
      </c>
      <c r="E201" t="s">
        <v>87</v>
      </c>
      <c r="F201" t="s">
        <v>268</v>
      </c>
      <c r="G201">
        <v>1</v>
      </c>
      <c r="H201" s="54" t="s">
        <v>457</v>
      </c>
      <c r="I201" s="54" t="s">
        <v>377</v>
      </c>
      <c r="J201" s="9">
        <f>IF(I201="Staff",LOOKUP(F201,'Pattern lookup'!$A$4:$A$29,'Pattern lookup'!$D$4:$D$17),0)</f>
        <v>0</v>
      </c>
    </row>
    <row r="202" spans="1:10" x14ac:dyDescent="0.2">
      <c r="A202" t="s">
        <v>183</v>
      </c>
      <c r="B202" t="s">
        <v>203</v>
      </c>
      <c r="C202" t="s">
        <v>99</v>
      </c>
      <c r="D202" t="s">
        <v>100</v>
      </c>
      <c r="E202" t="s">
        <v>88</v>
      </c>
      <c r="F202" t="s">
        <v>48</v>
      </c>
      <c r="G202">
        <v>1</v>
      </c>
      <c r="H202" s="54"/>
      <c r="I202" s="54"/>
      <c r="J202" s="9">
        <f>IF(I202="Staff",LOOKUP(F202,'Pattern lookup'!$A$4:$A$29,'Pattern lookup'!$D$4:$D$17),0)</f>
        <v>0</v>
      </c>
    </row>
    <row r="203" spans="1:10" x14ac:dyDescent="0.2">
      <c r="A203" t="s">
        <v>183</v>
      </c>
      <c r="B203" t="s">
        <v>203</v>
      </c>
      <c r="C203" t="s">
        <v>99</v>
      </c>
      <c r="D203" t="s">
        <v>107</v>
      </c>
      <c r="E203" t="s">
        <v>87</v>
      </c>
      <c r="F203" t="s">
        <v>56</v>
      </c>
      <c r="G203">
        <v>1</v>
      </c>
      <c r="H203" s="54"/>
      <c r="I203" s="54"/>
      <c r="J203" s="9">
        <f>IF(I203="Staff",LOOKUP(F203,'Pattern lookup'!$A$4:$A$29,'Pattern lookup'!$D$4:$D$17),0)</f>
        <v>0</v>
      </c>
    </row>
    <row r="204" spans="1:10" x14ac:dyDescent="0.2">
      <c r="A204" t="s">
        <v>190</v>
      </c>
      <c r="B204" t="s">
        <v>204</v>
      </c>
      <c r="C204" t="s">
        <v>99</v>
      </c>
      <c r="D204" t="s">
        <v>100</v>
      </c>
      <c r="E204" t="s">
        <v>87</v>
      </c>
      <c r="F204" t="s">
        <v>268</v>
      </c>
      <c r="G204">
        <v>1</v>
      </c>
      <c r="H204" s="54" t="s">
        <v>455</v>
      </c>
      <c r="I204" s="54" t="s">
        <v>377</v>
      </c>
      <c r="J204" s="9">
        <f>IF(I204="Staff",LOOKUP(F204,'Pattern lookup'!$A$4:$A$29,'Pattern lookup'!$D$4:$D$17),0)</f>
        <v>0</v>
      </c>
    </row>
    <row r="205" spans="1:10" x14ac:dyDescent="0.2">
      <c r="A205" t="s">
        <v>190</v>
      </c>
      <c r="B205" t="s">
        <v>204</v>
      </c>
      <c r="C205" t="s">
        <v>99</v>
      </c>
      <c r="D205" t="s">
        <v>100</v>
      </c>
      <c r="E205" t="s">
        <v>88</v>
      </c>
      <c r="F205" t="s">
        <v>48</v>
      </c>
      <c r="G205">
        <v>1</v>
      </c>
      <c r="H205" s="54"/>
      <c r="I205" s="54"/>
      <c r="J205" s="9">
        <f>IF(I205="Staff",LOOKUP(F205,'Pattern lookup'!$A$4:$A$29,'Pattern lookup'!$D$4:$D$17),0)</f>
        <v>0</v>
      </c>
    </row>
    <row r="206" spans="1:10" x14ac:dyDescent="0.2">
      <c r="A206" t="s">
        <v>192</v>
      </c>
      <c r="B206" t="s">
        <v>205</v>
      </c>
      <c r="C206" t="s">
        <v>108</v>
      </c>
      <c r="D206" t="s">
        <v>100</v>
      </c>
      <c r="E206" t="s">
        <v>87</v>
      </c>
      <c r="F206" t="s">
        <v>47</v>
      </c>
      <c r="G206">
        <v>1</v>
      </c>
      <c r="H206" s="54"/>
      <c r="I206" s="54"/>
      <c r="J206" s="9">
        <f>IF(I206="Staff",LOOKUP(F206,'Pattern lookup'!$A$4:$A$29,'Pattern lookup'!$D$4:$D$17),0)</f>
        <v>0</v>
      </c>
    </row>
    <row r="207" spans="1:10" x14ac:dyDescent="0.2">
      <c r="A207" t="s">
        <v>192</v>
      </c>
      <c r="B207" t="s">
        <v>205</v>
      </c>
      <c r="C207" t="s">
        <v>108</v>
      </c>
      <c r="D207" t="s">
        <v>100</v>
      </c>
      <c r="E207" t="s">
        <v>87</v>
      </c>
      <c r="F207" t="s">
        <v>47</v>
      </c>
      <c r="G207">
        <v>2</v>
      </c>
      <c r="H207" s="54"/>
      <c r="I207" s="54"/>
      <c r="J207" s="9">
        <f>IF(I207="Staff",LOOKUP(F207,'Pattern lookup'!$A$4:$A$29,'Pattern lookup'!$D$4:$D$17),0)</f>
        <v>0</v>
      </c>
    </row>
    <row r="208" spans="1:10" x14ac:dyDescent="0.2">
      <c r="A208" t="s">
        <v>193</v>
      </c>
      <c r="B208" t="s">
        <v>206</v>
      </c>
      <c r="C208" t="s">
        <v>108</v>
      </c>
      <c r="D208" t="s">
        <v>100</v>
      </c>
      <c r="E208" t="s">
        <v>87</v>
      </c>
      <c r="F208" t="s">
        <v>47</v>
      </c>
      <c r="G208">
        <v>1</v>
      </c>
      <c r="H208" s="54"/>
      <c r="I208" s="54"/>
      <c r="J208" s="9">
        <f>IF(I208="Staff",LOOKUP(F208,'Pattern lookup'!$A$4:$A$29,'Pattern lookup'!$D$4:$D$17),0)</f>
        <v>0</v>
      </c>
    </row>
    <row r="209" spans="1:10" x14ac:dyDescent="0.2">
      <c r="A209" t="s">
        <v>215</v>
      </c>
      <c r="B209" t="s">
        <v>152</v>
      </c>
      <c r="C209" t="s">
        <v>99</v>
      </c>
      <c r="D209" t="s">
        <v>100</v>
      </c>
      <c r="E209" t="s">
        <v>87</v>
      </c>
      <c r="F209" t="s">
        <v>59</v>
      </c>
      <c r="G209">
        <v>1</v>
      </c>
      <c r="H209" s="54"/>
      <c r="I209" s="54"/>
      <c r="J209" s="9">
        <f>IF(I209="Staff",LOOKUP(F209,'Pattern lookup'!$A$4:$A$29,'Pattern lookup'!$D$4:$D$17),0)</f>
        <v>0</v>
      </c>
    </row>
    <row r="210" spans="1:10" x14ac:dyDescent="0.2">
      <c r="A210" t="s">
        <v>249</v>
      </c>
      <c r="B210" t="s">
        <v>252</v>
      </c>
      <c r="C210" t="s">
        <v>108</v>
      </c>
      <c r="D210" t="s">
        <v>100</v>
      </c>
      <c r="E210" t="s">
        <v>87</v>
      </c>
      <c r="F210" t="s">
        <v>268</v>
      </c>
      <c r="G210">
        <v>1</v>
      </c>
      <c r="H210" s="54"/>
      <c r="I210" s="54"/>
      <c r="J210" s="9">
        <f>IF(I210="Staff",LOOKUP(F210,'Pattern lookup'!$A$4:$A$29,'Pattern lookup'!$D$4:$D$17),0)</f>
        <v>0</v>
      </c>
    </row>
    <row r="211" spans="1:10" x14ac:dyDescent="0.2">
      <c r="A211" t="s">
        <v>227</v>
      </c>
      <c r="B211" t="s">
        <v>157</v>
      </c>
      <c r="C211" t="s">
        <v>108</v>
      </c>
      <c r="D211" t="s">
        <v>100</v>
      </c>
      <c r="E211" t="s">
        <v>87</v>
      </c>
      <c r="F211" t="s">
        <v>59</v>
      </c>
      <c r="G211">
        <v>1</v>
      </c>
      <c r="H211" s="54"/>
      <c r="I211" s="54"/>
      <c r="J211" s="9">
        <f>IF(I211="Staff",LOOKUP(F211,'Pattern lookup'!$A$4:$A$29,'Pattern lookup'!$D$4:$D$17),0)</f>
        <v>0</v>
      </c>
    </row>
    <row r="212" spans="1:10" x14ac:dyDescent="0.2">
      <c r="A212" t="s">
        <v>208</v>
      </c>
      <c r="B212" t="s">
        <v>236</v>
      </c>
      <c r="C212" t="s">
        <v>99</v>
      </c>
      <c r="D212" t="s">
        <v>100</v>
      </c>
      <c r="E212" t="s">
        <v>87</v>
      </c>
      <c r="F212" t="s">
        <v>47</v>
      </c>
      <c r="G212">
        <v>1</v>
      </c>
      <c r="H212" s="54"/>
      <c r="I212" s="54"/>
      <c r="J212" s="9">
        <f>IF(I212="Staff",LOOKUP(F212,'Pattern lookup'!$A$4:$A$29,'Pattern lookup'!$D$4:$D$17),0)</f>
        <v>0</v>
      </c>
    </row>
    <row r="213" spans="1:10" x14ac:dyDescent="0.2">
      <c r="A213" t="s">
        <v>211</v>
      </c>
      <c r="B213" t="s">
        <v>199</v>
      </c>
      <c r="C213" t="s">
        <v>99</v>
      </c>
      <c r="D213" t="s">
        <v>100</v>
      </c>
      <c r="E213" t="s">
        <v>87</v>
      </c>
      <c r="F213" t="s">
        <v>59</v>
      </c>
      <c r="G213">
        <v>1</v>
      </c>
      <c r="H213" s="54"/>
      <c r="I213" s="54"/>
      <c r="J213" s="9">
        <f>IF(I213="Staff",LOOKUP(F213,'Pattern lookup'!$A$4:$A$29,'Pattern lookup'!$D$4:$D$17),0)</f>
        <v>0</v>
      </c>
    </row>
    <row r="214" spans="1:10" x14ac:dyDescent="0.2">
      <c r="A214" t="s">
        <v>250</v>
      </c>
      <c r="B214" t="s">
        <v>251</v>
      </c>
      <c r="C214" t="s">
        <v>108</v>
      </c>
      <c r="D214" t="s">
        <v>100</v>
      </c>
      <c r="E214" t="s">
        <v>87</v>
      </c>
      <c r="F214" t="s">
        <v>47</v>
      </c>
      <c r="G214">
        <v>1</v>
      </c>
      <c r="H214" s="54"/>
      <c r="I214" s="54"/>
      <c r="J214" s="9">
        <f>IF(I214="Staff",LOOKUP(F214,'Pattern lookup'!$A$4:$A$29,'Pattern lookup'!$D$4:$D$17),0)</f>
        <v>0</v>
      </c>
    </row>
    <row r="215" spans="1:10" x14ac:dyDescent="0.2">
      <c r="A215" t="s">
        <v>250</v>
      </c>
      <c r="B215" t="s">
        <v>251</v>
      </c>
      <c r="C215" t="s">
        <v>108</v>
      </c>
      <c r="D215" t="s">
        <v>100</v>
      </c>
      <c r="E215" t="s">
        <v>87</v>
      </c>
      <c r="F215" t="s">
        <v>47</v>
      </c>
      <c r="G215">
        <v>2</v>
      </c>
      <c r="H215" s="54"/>
      <c r="I215" s="54"/>
      <c r="J215" s="9">
        <f>IF(I215="Staff",LOOKUP(F215,'Pattern lookup'!$A$4:$A$29,'Pattern lookup'!$D$4:$D$17),0)</f>
        <v>0</v>
      </c>
    </row>
    <row r="216" spans="1:10" x14ac:dyDescent="0.2">
      <c r="A216" t="s">
        <v>213</v>
      </c>
      <c r="B216" t="s">
        <v>165</v>
      </c>
      <c r="C216" t="s">
        <v>108</v>
      </c>
      <c r="D216" t="s">
        <v>100</v>
      </c>
      <c r="E216" t="s">
        <v>87</v>
      </c>
      <c r="F216" t="s">
        <v>59</v>
      </c>
      <c r="G216">
        <v>1</v>
      </c>
      <c r="H216" s="54"/>
      <c r="I216" s="54"/>
      <c r="J216" s="9">
        <f>IF(I216="Staff",LOOKUP(F216,'Pattern lookup'!$A$4:$A$29,'Pattern lookup'!$D$4:$D$17),0)</f>
        <v>0</v>
      </c>
    </row>
    <row r="217" spans="1:10" x14ac:dyDescent="0.2">
      <c r="A217" t="s">
        <v>219</v>
      </c>
      <c r="B217" t="s">
        <v>169</v>
      </c>
      <c r="C217" t="s">
        <v>108</v>
      </c>
      <c r="D217" t="s">
        <v>100</v>
      </c>
      <c r="E217" t="s">
        <v>87</v>
      </c>
      <c r="F217" t="s">
        <v>59</v>
      </c>
      <c r="G217">
        <v>1</v>
      </c>
      <c r="H217" s="54"/>
      <c r="I217" s="54"/>
      <c r="J217" s="9">
        <f>IF(I217="Staff",LOOKUP(F217,'Pattern lookup'!$A$4:$A$29,'Pattern lookup'!$D$4:$D$17),0)</f>
        <v>0</v>
      </c>
    </row>
    <row r="218" spans="1:10" x14ac:dyDescent="0.2">
      <c r="A218" t="s">
        <v>218</v>
      </c>
      <c r="B218" t="s">
        <v>204</v>
      </c>
      <c r="C218" t="s">
        <v>99</v>
      </c>
      <c r="D218" t="s">
        <v>100</v>
      </c>
      <c r="E218" t="s">
        <v>87</v>
      </c>
      <c r="F218" t="s">
        <v>268</v>
      </c>
      <c r="G218">
        <v>1</v>
      </c>
      <c r="H218" s="54" t="s">
        <v>455</v>
      </c>
      <c r="I218" s="54" t="s">
        <v>377</v>
      </c>
      <c r="J218" s="9">
        <f>IF(I218="Staff",LOOKUP(F218,'Pattern lookup'!$A$4:$A$29,'Pattern lookup'!$D$4:$D$17),0)</f>
        <v>0</v>
      </c>
    </row>
    <row r="219" spans="1:10" x14ac:dyDescent="0.2">
      <c r="A219" t="s">
        <v>228</v>
      </c>
      <c r="B219" t="s">
        <v>170</v>
      </c>
      <c r="C219" t="s">
        <v>99</v>
      </c>
      <c r="D219" t="s">
        <v>100</v>
      </c>
      <c r="E219" t="s">
        <v>87</v>
      </c>
      <c r="F219" t="s">
        <v>59</v>
      </c>
      <c r="G219">
        <v>1</v>
      </c>
      <c r="H219" s="54"/>
      <c r="I219" s="54"/>
      <c r="J219" s="9">
        <f>IF(I219="Staff",LOOKUP(F219,'Pattern lookup'!$A$4:$A$29,'Pattern lookup'!$D$4:$D$17),0)</f>
        <v>0</v>
      </c>
    </row>
    <row r="220" spans="1:10" x14ac:dyDescent="0.2">
      <c r="A220" t="s">
        <v>225</v>
      </c>
      <c r="B220" t="s">
        <v>171</v>
      </c>
      <c r="C220" t="s">
        <v>99</v>
      </c>
      <c r="D220" t="s">
        <v>100</v>
      </c>
      <c r="E220" t="s">
        <v>87</v>
      </c>
      <c r="F220" t="s">
        <v>59</v>
      </c>
      <c r="G220">
        <v>1</v>
      </c>
      <c r="H220" s="54"/>
      <c r="I220" s="54"/>
      <c r="J220" s="9">
        <f>IF(I220="Staff",LOOKUP(F220,'Pattern lookup'!$A$4:$A$29,'Pattern lookup'!$D$4:$D$17),0)</f>
        <v>0</v>
      </c>
    </row>
    <row r="221" spans="1:10" x14ac:dyDescent="0.2">
      <c r="A221" t="s">
        <v>234</v>
      </c>
      <c r="B221" t="s">
        <v>237</v>
      </c>
      <c r="C221" t="s">
        <v>108</v>
      </c>
      <c r="D221" t="s">
        <v>100</v>
      </c>
      <c r="E221" t="s">
        <v>87</v>
      </c>
      <c r="F221" t="s">
        <v>268</v>
      </c>
      <c r="G221">
        <v>1</v>
      </c>
      <c r="H221" s="54" t="s">
        <v>456</v>
      </c>
      <c r="I221" s="54" t="s">
        <v>377</v>
      </c>
      <c r="J221" s="9">
        <f>IF(I221="Staff",LOOKUP(F221,'Pattern lookup'!$A$4:$A$29,'Pattern lookup'!$D$4:$D$17),0)</f>
        <v>0</v>
      </c>
    </row>
    <row r="222" spans="1:10" x14ac:dyDescent="0.2">
      <c r="A222" t="s">
        <v>214</v>
      </c>
      <c r="B222" t="s">
        <v>238</v>
      </c>
      <c r="C222" t="s">
        <v>99</v>
      </c>
      <c r="D222" t="s">
        <v>100</v>
      </c>
      <c r="E222" t="s">
        <v>87</v>
      </c>
      <c r="F222" t="s">
        <v>268</v>
      </c>
      <c r="G222">
        <v>1</v>
      </c>
      <c r="H222" s="54"/>
      <c r="I222" s="54"/>
      <c r="J222" s="9">
        <f>IF(I222="Staff",LOOKUP(F222,'Pattern lookup'!$A$4:$A$29,'Pattern lookup'!$D$4:$D$17),0)</f>
        <v>0</v>
      </c>
    </row>
    <row r="223" spans="1:10" x14ac:dyDescent="0.2">
      <c r="A223" t="s">
        <v>209</v>
      </c>
      <c r="B223" t="s">
        <v>239</v>
      </c>
      <c r="C223" t="s">
        <v>108</v>
      </c>
      <c r="D223" t="s">
        <v>100</v>
      </c>
      <c r="E223" t="s">
        <v>87</v>
      </c>
      <c r="F223" t="s">
        <v>278</v>
      </c>
      <c r="G223">
        <v>1</v>
      </c>
      <c r="H223" s="54"/>
      <c r="I223" s="54"/>
      <c r="J223" s="9">
        <f>IF(I223="Staff",LOOKUP(F223,'Pattern lookup'!$A$4:$A$29,'Pattern lookup'!$D$4:$D$17),0)</f>
        <v>0</v>
      </c>
    </row>
    <row r="224" spans="1:10" x14ac:dyDescent="0.2">
      <c r="A224" t="s">
        <v>209</v>
      </c>
      <c r="B224" t="s">
        <v>239</v>
      </c>
      <c r="C224" t="s">
        <v>108</v>
      </c>
      <c r="D224" t="s">
        <v>100</v>
      </c>
      <c r="E224" t="s">
        <v>87</v>
      </c>
      <c r="F224" t="s">
        <v>278</v>
      </c>
      <c r="G224">
        <v>2</v>
      </c>
      <c r="H224" s="54"/>
      <c r="I224" s="54"/>
      <c r="J224" s="9">
        <f>IF(I224="Staff",LOOKUP(F224,'Pattern lookup'!$A$4:$A$29,'Pattern lookup'!$D$4:$D$17),0)</f>
        <v>0</v>
      </c>
    </row>
    <row r="225" spans="1:10" x14ac:dyDescent="0.2">
      <c r="A225" t="s">
        <v>209</v>
      </c>
      <c r="B225" t="s">
        <v>239</v>
      </c>
      <c r="C225" t="s">
        <v>108</v>
      </c>
      <c r="D225" t="s">
        <v>100</v>
      </c>
      <c r="E225" t="s">
        <v>87</v>
      </c>
      <c r="F225" t="s">
        <v>278</v>
      </c>
      <c r="G225">
        <v>3</v>
      </c>
      <c r="H225" s="54"/>
      <c r="I225" s="54"/>
      <c r="J225" s="9">
        <f>IF(I225="Staff",LOOKUP(F225,'Pattern lookup'!$A$4:$A$29,'Pattern lookup'!$D$4:$D$17),0)</f>
        <v>0</v>
      </c>
    </row>
    <row r="226" spans="1:10" x14ac:dyDescent="0.2">
      <c r="A226" t="s">
        <v>209</v>
      </c>
      <c r="B226" t="s">
        <v>239</v>
      </c>
      <c r="C226" t="s">
        <v>108</v>
      </c>
      <c r="D226" t="s">
        <v>100</v>
      </c>
      <c r="E226" t="s">
        <v>87</v>
      </c>
      <c r="F226" t="s">
        <v>278</v>
      </c>
      <c r="G226">
        <v>4</v>
      </c>
      <c r="H226" s="54"/>
      <c r="I226" s="54"/>
      <c r="J226" s="9">
        <f>IF(I226="Staff",LOOKUP(F226,'Pattern lookup'!$A$4:$A$29,'Pattern lookup'!$D$4:$D$17),0)</f>
        <v>0</v>
      </c>
    </row>
    <row r="227" spans="1:10" x14ac:dyDescent="0.2">
      <c r="A227" t="s">
        <v>209</v>
      </c>
      <c r="B227" t="s">
        <v>239</v>
      </c>
      <c r="C227" t="s">
        <v>108</v>
      </c>
      <c r="D227" t="s">
        <v>100</v>
      </c>
      <c r="E227" t="s">
        <v>87</v>
      </c>
      <c r="F227" t="s">
        <v>278</v>
      </c>
      <c r="G227">
        <v>5</v>
      </c>
      <c r="H227" s="54"/>
      <c r="I227" s="54"/>
      <c r="J227" s="9">
        <f>IF(I227="Staff",LOOKUP(F227,'Pattern lookup'!$A$4:$A$29,'Pattern lookup'!$D$4:$D$17),0)</f>
        <v>0</v>
      </c>
    </row>
    <row r="228" spans="1:10" x14ac:dyDescent="0.2">
      <c r="A228" t="s">
        <v>209</v>
      </c>
      <c r="B228" t="s">
        <v>239</v>
      </c>
      <c r="C228" t="s">
        <v>108</v>
      </c>
      <c r="D228" t="s">
        <v>100</v>
      </c>
      <c r="E228" t="s">
        <v>88</v>
      </c>
      <c r="F228" t="s">
        <v>278</v>
      </c>
      <c r="G228">
        <v>1</v>
      </c>
      <c r="H228" s="54"/>
      <c r="I228" s="54"/>
      <c r="J228" s="9">
        <f>IF(I228="Staff",LOOKUP(F228,'Pattern lookup'!$A$4:$A$29,'Pattern lookup'!$D$4:$D$17),0)</f>
        <v>0</v>
      </c>
    </row>
    <row r="229" spans="1:10" x14ac:dyDescent="0.2">
      <c r="A229" t="s">
        <v>209</v>
      </c>
      <c r="B229" t="s">
        <v>239</v>
      </c>
      <c r="C229" t="s">
        <v>108</v>
      </c>
      <c r="D229" t="s">
        <v>100</v>
      </c>
      <c r="E229" t="s">
        <v>88</v>
      </c>
      <c r="F229" t="s">
        <v>278</v>
      </c>
      <c r="G229">
        <v>2</v>
      </c>
      <c r="H229" s="54"/>
      <c r="I229" s="54"/>
      <c r="J229" s="9">
        <f>IF(I229="Staff",LOOKUP(F229,'Pattern lookup'!$A$4:$A$29,'Pattern lookup'!$D$4:$D$17),0)</f>
        <v>0</v>
      </c>
    </row>
    <row r="230" spans="1:10" x14ac:dyDescent="0.2">
      <c r="A230" t="s">
        <v>209</v>
      </c>
      <c r="B230" t="s">
        <v>239</v>
      </c>
      <c r="C230" t="s">
        <v>99</v>
      </c>
      <c r="D230" t="s">
        <v>100</v>
      </c>
      <c r="E230" t="s">
        <v>87</v>
      </c>
      <c r="F230" t="s">
        <v>278</v>
      </c>
      <c r="G230">
        <v>1</v>
      </c>
      <c r="H230" s="54"/>
      <c r="I230" s="54"/>
      <c r="J230" s="9">
        <f>IF(I230="Staff",LOOKUP(F230,'Pattern lookup'!$A$4:$A$29,'Pattern lookup'!$D$4:$D$17),0)</f>
        <v>0</v>
      </c>
    </row>
    <row r="231" spans="1:10" x14ac:dyDescent="0.2">
      <c r="A231" t="s">
        <v>209</v>
      </c>
      <c r="B231" t="s">
        <v>239</v>
      </c>
      <c r="C231" t="s">
        <v>99</v>
      </c>
      <c r="D231" t="s">
        <v>100</v>
      </c>
      <c r="E231" t="s">
        <v>87</v>
      </c>
      <c r="F231" t="s">
        <v>278</v>
      </c>
      <c r="G231">
        <v>2</v>
      </c>
      <c r="H231" s="54"/>
      <c r="I231" s="54"/>
      <c r="J231" s="9">
        <f>IF(I231="Staff",LOOKUP(F231,'Pattern lookup'!$A$4:$A$29,'Pattern lookup'!$D$4:$D$17),0)</f>
        <v>0</v>
      </c>
    </row>
    <row r="232" spans="1:10" x14ac:dyDescent="0.2">
      <c r="A232" t="s">
        <v>209</v>
      </c>
      <c r="B232" t="s">
        <v>239</v>
      </c>
      <c r="C232" t="s">
        <v>99</v>
      </c>
      <c r="D232" t="s">
        <v>100</v>
      </c>
      <c r="E232" t="s">
        <v>87</v>
      </c>
      <c r="F232" t="s">
        <v>278</v>
      </c>
      <c r="G232">
        <v>3</v>
      </c>
      <c r="H232" s="54"/>
      <c r="I232" s="54"/>
      <c r="J232" s="9">
        <f>IF(I232="Staff",LOOKUP(F232,'Pattern lookup'!$A$4:$A$29,'Pattern lookup'!$D$4:$D$17),0)</f>
        <v>0</v>
      </c>
    </row>
    <row r="233" spans="1:10" x14ac:dyDescent="0.2">
      <c r="A233" t="s">
        <v>209</v>
      </c>
      <c r="B233" t="s">
        <v>239</v>
      </c>
      <c r="C233" t="s">
        <v>99</v>
      </c>
      <c r="D233" t="s">
        <v>100</v>
      </c>
      <c r="E233" t="s">
        <v>87</v>
      </c>
      <c r="F233" t="s">
        <v>278</v>
      </c>
      <c r="G233">
        <v>4</v>
      </c>
      <c r="H233" s="54"/>
      <c r="I233" s="54"/>
      <c r="J233" s="9">
        <f>IF(I233="Staff",LOOKUP(F233,'Pattern lookup'!$A$4:$A$29,'Pattern lookup'!$D$4:$D$17),0)</f>
        <v>0</v>
      </c>
    </row>
    <row r="234" spans="1:10" x14ac:dyDescent="0.2">
      <c r="A234" t="s">
        <v>209</v>
      </c>
      <c r="B234" t="s">
        <v>239</v>
      </c>
      <c r="C234" t="s">
        <v>99</v>
      </c>
      <c r="D234" t="s">
        <v>100</v>
      </c>
      <c r="E234" t="s">
        <v>87</v>
      </c>
      <c r="F234" t="s">
        <v>278</v>
      </c>
      <c r="G234">
        <v>5</v>
      </c>
      <c r="H234" s="54"/>
      <c r="I234" s="54"/>
      <c r="J234" s="9">
        <f>IF(I234="Staff",LOOKUP(F234,'Pattern lookup'!$A$4:$A$29,'Pattern lookup'!$D$4:$D$17),0)</f>
        <v>0</v>
      </c>
    </row>
    <row r="235" spans="1:10" x14ac:dyDescent="0.2">
      <c r="A235" t="s">
        <v>209</v>
      </c>
      <c r="B235" t="s">
        <v>239</v>
      </c>
      <c r="C235" t="s">
        <v>99</v>
      </c>
      <c r="D235" t="s">
        <v>100</v>
      </c>
      <c r="E235" t="s">
        <v>88</v>
      </c>
      <c r="F235" t="s">
        <v>278</v>
      </c>
      <c r="G235">
        <v>1</v>
      </c>
      <c r="H235" s="54"/>
      <c r="I235" s="54"/>
      <c r="J235" s="9">
        <f>IF(I235="Staff",LOOKUP(F235,'Pattern lookup'!$A$4:$A$29,'Pattern lookup'!$D$4:$D$17),0)</f>
        <v>0</v>
      </c>
    </row>
    <row r="236" spans="1:10" x14ac:dyDescent="0.2">
      <c r="A236" t="s">
        <v>209</v>
      </c>
      <c r="B236" t="s">
        <v>239</v>
      </c>
      <c r="C236" t="s">
        <v>99</v>
      </c>
      <c r="D236" t="s">
        <v>100</v>
      </c>
      <c r="E236" t="s">
        <v>88</v>
      </c>
      <c r="F236" t="s">
        <v>278</v>
      </c>
      <c r="G236">
        <v>2</v>
      </c>
      <c r="H236" s="54"/>
      <c r="I236" s="54"/>
      <c r="J236" s="9">
        <f>IF(I236="Staff",LOOKUP(F236,'Pattern lookup'!$A$4:$A$29,'Pattern lookup'!$D$4:$D$17),0)</f>
        <v>0</v>
      </c>
    </row>
    <row r="237" spans="1:10" x14ac:dyDescent="0.2">
      <c r="A237" t="s">
        <v>220</v>
      </c>
      <c r="B237" t="s">
        <v>240</v>
      </c>
      <c r="C237" t="s">
        <v>108</v>
      </c>
      <c r="D237" t="s">
        <v>100</v>
      </c>
      <c r="E237" t="s">
        <v>87</v>
      </c>
      <c r="F237" t="s">
        <v>268</v>
      </c>
      <c r="G237">
        <v>1</v>
      </c>
      <c r="H237" s="54" t="s">
        <v>449</v>
      </c>
      <c r="I237" s="54" t="s">
        <v>377</v>
      </c>
      <c r="J237" s="9">
        <f>IF(I237="Staff",LOOKUP(F237,'Pattern lookup'!$A$4:$A$29,'Pattern lookup'!$D$4:$D$17),0)</f>
        <v>0</v>
      </c>
    </row>
    <row r="238" spans="1:10" x14ac:dyDescent="0.2">
      <c r="A238" t="s">
        <v>233</v>
      </c>
      <c r="B238" t="s">
        <v>241</v>
      </c>
      <c r="C238" t="s">
        <v>99</v>
      </c>
      <c r="D238" t="s">
        <v>100</v>
      </c>
      <c r="E238" t="s">
        <v>87</v>
      </c>
      <c r="F238" t="s">
        <v>268</v>
      </c>
      <c r="G238">
        <v>1</v>
      </c>
      <c r="H238" s="54" t="s">
        <v>456</v>
      </c>
      <c r="I238" s="54" t="s">
        <v>377</v>
      </c>
      <c r="J238" s="9">
        <f>IF(I238="Staff",LOOKUP(F238,'Pattern lookup'!$A$4:$A$29,'Pattern lookup'!$D$4:$D$17),0)</f>
        <v>0</v>
      </c>
    </row>
    <row r="239" spans="1:10" x14ac:dyDescent="0.2">
      <c r="A239" t="s">
        <v>221</v>
      </c>
      <c r="B239" t="s">
        <v>242</v>
      </c>
      <c r="C239" t="s">
        <v>99</v>
      </c>
      <c r="D239" t="s">
        <v>100</v>
      </c>
      <c r="E239" t="s">
        <v>87</v>
      </c>
      <c r="F239" t="s">
        <v>268</v>
      </c>
      <c r="G239">
        <v>1</v>
      </c>
      <c r="H239" s="54"/>
      <c r="I239" s="54"/>
      <c r="J239" s="9">
        <f>IF(I239="Staff",LOOKUP(F239,'Pattern lookup'!$A$4:$A$29,'Pattern lookup'!$D$4:$D$17),0)</f>
        <v>0</v>
      </c>
    </row>
    <row r="240" spans="1:10" x14ac:dyDescent="0.2">
      <c r="A240" t="s">
        <v>212</v>
      </c>
      <c r="B240" t="s">
        <v>198</v>
      </c>
      <c r="C240" t="s">
        <v>108</v>
      </c>
      <c r="D240" t="s">
        <v>100</v>
      </c>
      <c r="E240" t="s">
        <v>87</v>
      </c>
      <c r="F240" t="s">
        <v>59</v>
      </c>
      <c r="G240">
        <v>1</v>
      </c>
      <c r="H240" s="54"/>
      <c r="I240" s="54"/>
      <c r="J240" s="9">
        <f>IF(I240="Staff",LOOKUP(F240,'Pattern lookup'!$A$4:$A$29,'Pattern lookup'!$D$4:$D$17),0)</f>
        <v>0</v>
      </c>
    </row>
    <row r="241" spans="1:10" x14ac:dyDescent="0.2">
      <c r="A241" t="s">
        <v>222</v>
      </c>
      <c r="B241" t="s">
        <v>200</v>
      </c>
      <c r="C241" t="s">
        <v>99</v>
      </c>
      <c r="D241" t="s">
        <v>100</v>
      </c>
      <c r="E241" t="s">
        <v>87</v>
      </c>
      <c r="F241" t="s">
        <v>59</v>
      </c>
      <c r="G241">
        <v>1</v>
      </c>
      <c r="H241" s="54"/>
      <c r="I241" s="54"/>
      <c r="J241" s="9">
        <f>IF(I241="Staff",LOOKUP(F241,'Pattern lookup'!$A$4:$A$29,'Pattern lookup'!$D$4:$D$17),0)</f>
        <v>0</v>
      </c>
    </row>
    <row r="242" spans="1:10" x14ac:dyDescent="0.2">
      <c r="A242" t="s">
        <v>210</v>
      </c>
      <c r="B242" t="s">
        <v>201</v>
      </c>
      <c r="C242" t="s">
        <v>99</v>
      </c>
      <c r="D242" t="s">
        <v>100</v>
      </c>
      <c r="E242" t="s">
        <v>87</v>
      </c>
      <c r="F242" t="s">
        <v>59</v>
      </c>
      <c r="G242">
        <v>1</v>
      </c>
      <c r="H242" s="54"/>
      <c r="I242" s="54"/>
      <c r="J242" s="9">
        <f>IF(I242="Staff",LOOKUP(F242,'Pattern lookup'!$A$4:$A$29,'Pattern lookup'!$D$4:$D$17),0)</f>
        <v>0</v>
      </c>
    </row>
    <row r="243" spans="1:10" x14ac:dyDescent="0.2">
      <c r="A243" t="s">
        <v>216</v>
      </c>
      <c r="B243" t="s">
        <v>202</v>
      </c>
      <c r="C243" t="s">
        <v>108</v>
      </c>
      <c r="D243" t="s">
        <v>100</v>
      </c>
      <c r="E243" t="s">
        <v>87</v>
      </c>
      <c r="F243" t="s">
        <v>59</v>
      </c>
      <c r="G243">
        <v>1</v>
      </c>
      <c r="H243" s="54"/>
      <c r="I243" s="54"/>
      <c r="J243" s="9">
        <f>IF(I243="Staff",LOOKUP(F243,'Pattern lookup'!$A$4:$A$29,'Pattern lookup'!$D$4:$D$17),0)</f>
        <v>0</v>
      </c>
    </row>
    <row r="244" spans="1:10" x14ac:dyDescent="0.2">
      <c r="A244" t="s">
        <v>232</v>
      </c>
      <c r="B244" t="s">
        <v>235</v>
      </c>
      <c r="C244" t="s">
        <v>108</v>
      </c>
      <c r="D244" t="s">
        <v>100</v>
      </c>
      <c r="E244" t="s">
        <v>87</v>
      </c>
      <c r="F244" t="s">
        <v>268</v>
      </c>
      <c r="G244">
        <v>1</v>
      </c>
      <c r="H244" s="54" t="s">
        <v>457</v>
      </c>
      <c r="I244" s="54" t="s">
        <v>377</v>
      </c>
      <c r="J244" s="9">
        <f>IF(I244="Staff",LOOKUP(F244,'Pattern lookup'!$A$4:$A$29,'Pattern lookup'!$D$4:$D$17),0)</f>
        <v>0</v>
      </c>
    </row>
    <row r="245" spans="1:10" x14ac:dyDescent="0.2">
      <c r="A245" t="s">
        <v>224</v>
      </c>
      <c r="B245" t="s">
        <v>206</v>
      </c>
      <c r="C245" t="s">
        <v>108</v>
      </c>
      <c r="D245" t="s">
        <v>100</v>
      </c>
      <c r="E245" t="s">
        <v>87</v>
      </c>
      <c r="F245" t="s">
        <v>59</v>
      </c>
      <c r="G245">
        <v>1</v>
      </c>
      <c r="H245" s="54"/>
      <c r="I245" s="54"/>
      <c r="J245" s="9">
        <f>IF(I245="Staff",LOOKUP(F245,'Pattern lookup'!$A$4:$A$29,'Pattern lookup'!$D$4:$D$17),0)</f>
        <v>0</v>
      </c>
    </row>
    <row r="246" spans="1:10" x14ac:dyDescent="0.2">
      <c r="A246" t="s">
        <v>223</v>
      </c>
      <c r="B246" t="s">
        <v>205</v>
      </c>
      <c r="C246" t="s">
        <v>108</v>
      </c>
      <c r="D246" t="s">
        <v>100</v>
      </c>
      <c r="E246" t="s">
        <v>87</v>
      </c>
      <c r="F246" t="s">
        <v>59</v>
      </c>
      <c r="G246">
        <v>1</v>
      </c>
      <c r="H246" s="54"/>
      <c r="I246" s="54"/>
      <c r="J246" s="9">
        <f>IF(I246="Staff",LOOKUP(F246,'Pattern lookup'!$A$4:$A$29,'Pattern lookup'!$D$4:$D$17),0)</f>
        <v>0</v>
      </c>
    </row>
    <row r="247" spans="1:10" x14ac:dyDescent="0.2">
      <c r="A247" t="s">
        <v>229</v>
      </c>
      <c r="B247" t="s">
        <v>243</v>
      </c>
      <c r="C247" t="s">
        <v>108</v>
      </c>
      <c r="D247" t="s">
        <v>100</v>
      </c>
      <c r="E247" t="s">
        <v>87</v>
      </c>
      <c r="F247" t="s">
        <v>279</v>
      </c>
      <c r="G247">
        <v>1</v>
      </c>
      <c r="H247" s="54"/>
      <c r="I247" s="54"/>
      <c r="J247" s="9">
        <f>IF(I247="Staff",LOOKUP(F247,'Pattern lookup'!$A$4:$A$29,'Pattern lookup'!$D$4:$D$17),0)</f>
        <v>0</v>
      </c>
    </row>
    <row r="248" spans="1:10" x14ac:dyDescent="0.2">
      <c r="A248" t="s">
        <v>229</v>
      </c>
      <c r="B248" t="s">
        <v>243</v>
      </c>
      <c r="C248" t="s">
        <v>108</v>
      </c>
      <c r="D248" t="s">
        <v>100</v>
      </c>
      <c r="E248" t="s">
        <v>87</v>
      </c>
      <c r="F248" t="s">
        <v>279</v>
      </c>
      <c r="G248">
        <v>2</v>
      </c>
      <c r="H248" s="54"/>
      <c r="I248" s="54"/>
      <c r="J248" s="9">
        <f>IF(I248="Staff",LOOKUP(F248,'Pattern lookup'!$A$4:$A$29,'Pattern lookup'!$D$4:$D$17),0)</f>
        <v>0</v>
      </c>
    </row>
    <row r="249" spans="1:10" x14ac:dyDescent="0.2">
      <c r="A249" t="s">
        <v>229</v>
      </c>
      <c r="B249" t="s">
        <v>243</v>
      </c>
      <c r="C249" t="s">
        <v>99</v>
      </c>
      <c r="D249" t="s">
        <v>100</v>
      </c>
      <c r="E249" t="s">
        <v>87</v>
      </c>
      <c r="F249" t="s">
        <v>279</v>
      </c>
      <c r="G249">
        <v>1</v>
      </c>
      <c r="H249" s="54"/>
      <c r="I249" s="54"/>
      <c r="J249" s="9">
        <f>IF(I249="Staff",LOOKUP(F249,'Pattern lookup'!$A$4:$A$29,'Pattern lookup'!$D$4:$D$17),0)</f>
        <v>0</v>
      </c>
    </row>
    <row r="250" spans="1:10" x14ac:dyDescent="0.2">
      <c r="A250" t="s">
        <v>229</v>
      </c>
      <c r="B250" t="s">
        <v>243</v>
      </c>
      <c r="C250" t="s">
        <v>99</v>
      </c>
      <c r="D250" t="s">
        <v>100</v>
      </c>
      <c r="E250" t="s">
        <v>87</v>
      </c>
      <c r="F250" t="s">
        <v>279</v>
      </c>
      <c r="G250">
        <v>2</v>
      </c>
      <c r="H250" s="54"/>
      <c r="I250" s="54"/>
      <c r="J250" s="9">
        <f>IF(I250="Staff",LOOKUP(F250,'Pattern lookup'!$A$4:$A$29,'Pattern lookup'!$D$4:$D$17),0)</f>
        <v>0</v>
      </c>
    </row>
    <row r="251" spans="1:10" x14ac:dyDescent="0.2">
      <c r="A251" t="s">
        <v>244</v>
      </c>
      <c r="B251" t="s">
        <v>245</v>
      </c>
      <c r="C251" t="s">
        <v>108</v>
      </c>
      <c r="D251" t="s">
        <v>100</v>
      </c>
      <c r="E251" t="s">
        <v>87</v>
      </c>
      <c r="F251" t="s">
        <v>314</v>
      </c>
      <c r="G251">
        <v>1</v>
      </c>
      <c r="H251" s="54"/>
      <c r="I251" s="54"/>
      <c r="J251" s="9">
        <f>IF(I251="Staff",LOOKUP(F251,'Pattern lookup'!$A$4:$A$29,'Pattern lookup'!$D$4:$D$17),0)</f>
        <v>0</v>
      </c>
    </row>
    <row r="252" spans="1:10" x14ac:dyDescent="0.2">
      <c r="A252" t="s">
        <v>244</v>
      </c>
      <c r="B252" t="s">
        <v>245</v>
      </c>
      <c r="C252" t="s">
        <v>108</v>
      </c>
      <c r="D252" t="s">
        <v>100</v>
      </c>
      <c r="E252" t="s">
        <v>87</v>
      </c>
      <c r="F252" t="s">
        <v>314</v>
      </c>
      <c r="G252">
        <v>2</v>
      </c>
      <c r="H252" s="54"/>
      <c r="I252" s="54"/>
      <c r="J252" s="9">
        <f>IF(I252="Staff",LOOKUP(F252,'Pattern lookup'!$A$4:$A$29,'Pattern lookup'!$D$4:$D$17),0)</f>
        <v>0</v>
      </c>
    </row>
    <row r="253" spans="1:10" x14ac:dyDescent="0.2">
      <c r="A253" t="s">
        <v>244</v>
      </c>
      <c r="B253" t="s">
        <v>245</v>
      </c>
      <c r="C253" t="s">
        <v>108</v>
      </c>
      <c r="D253" t="s">
        <v>100</v>
      </c>
      <c r="E253" t="s">
        <v>87</v>
      </c>
      <c r="F253" t="s">
        <v>314</v>
      </c>
      <c r="G253">
        <v>3</v>
      </c>
      <c r="H253" s="54"/>
      <c r="I253" s="54"/>
      <c r="J253" s="9">
        <f>IF(I253="Staff",LOOKUP(F253,'Pattern lookup'!$A$4:$A$29,'Pattern lookup'!$D$4:$D$17),0)</f>
        <v>0</v>
      </c>
    </row>
    <row r="254" spans="1:10" x14ac:dyDescent="0.2">
      <c r="A254" t="s">
        <v>244</v>
      </c>
      <c r="B254" t="s">
        <v>245</v>
      </c>
      <c r="C254" t="s">
        <v>108</v>
      </c>
      <c r="D254" t="s">
        <v>100</v>
      </c>
      <c r="E254" t="s">
        <v>87</v>
      </c>
      <c r="F254" t="s">
        <v>314</v>
      </c>
      <c r="G254">
        <v>4</v>
      </c>
      <c r="H254" s="54"/>
      <c r="I254" s="54"/>
      <c r="J254" s="9">
        <f>IF(I254="Staff",LOOKUP(F254,'Pattern lookup'!$A$4:$A$29,'Pattern lookup'!$D$4:$D$17),0)</f>
        <v>0</v>
      </c>
    </row>
    <row r="255" spans="1:10" x14ac:dyDescent="0.2">
      <c r="A255" t="s">
        <v>244</v>
      </c>
      <c r="B255" t="s">
        <v>245</v>
      </c>
      <c r="C255" t="s">
        <v>108</v>
      </c>
      <c r="D255" t="s">
        <v>100</v>
      </c>
      <c r="E255" t="s">
        <v>87</v>
      </c>
      <c r="F255" t="s">
        <v>314</v>
      </c>
      <c r="G255">
        <v>5</v>
      </c>
      <c r="H255" s="54"/>
      <c r="I255" s="54"/>
      <c r="J255" s="9">
        <f>IF(I255="Staff",LOOKUP(F255,'Pattern lookup'!$A$4:$A$29,'Pattern lookup'!$D$4:$D$17),0)</f>
        <v>0</v>
      </c>
    </row>
    <row r="256" spans="1:10" x14ac:dyDescent="0.2">
      <c r="A256" t="s">
        <v>244</v>
      </c>
      <c r="B256" t="s">
        <v>245</v>
      </c>
      <c r="C256" t="s">
        <v>108</v>
      </c>
      <c r="D256" t="s">
        <v>100</v>
      </c>
      <c r="E256" t="s">
        <v>87</v>
      </c>
      <c r="F256" t="s">
        <v>314</v>
      </c>
      <c r="G256">
        <v>6</v>
      </c>
      <c r="H256" s="54"/>
      <c r="I256" s="54"/>
      <c r="J256" s="9">
        <f>IF(I256="Staff",LOOKUP(F256,'Pattern lookup'!$A$4:$A$29,'Pattern lookup'!$D$4:$D$17),0)</f>
        <v>0</v>
      </c>
    </row>
    <row r="257" spans="1:10" x14ac:dyDescent="0.2">
      <c r="A257" t="s">
        <v>244</v>
      </c>
      <c r="B257" t="s">
        <v>245</v>
      </c>
      <c r="C257" t="s">
        <v>108</v>
      </c>
      <c r="D257" t="s">
        <v>100</v>
      </c>
      <c r="E257" t="s">
        <v>87</v>
      </c>
      <c r="F257" t="s">
        <v>314</v>
      </c>
      <c r="G257">
        <v>7</v>
      </c>
      <c r="H257" s="54"/>
      <c r="I257" s="54"/>
      <c r="J257" s="9">
        <f>IF(I257="Staff",LOOKUP(F257,'Pattern lookup'!$A$4:$A$29,'Pattern lookup'!$D$4:$D$17),0)</f>
        <v>0</v>
      </c>
    </row>
    <row r="258" spans="1:10" x14ac:dyDescent="0.2">
      <c r="A258" t="s">
        <v>244</v>
      </c>
      <c r="B258" t="s">
        <v>245</v>
      </c>
      <c r="C258" t="s">
        <v>108</v>
      </c>
      <c r="D258" t="s">
        <v>100</v>
      </c>
      <c r="E258" t="s">
        <v>87</v>
      </c>
      <c r="F258" t="s">
        <v>314</v>
      </c>
      <c r="G258">
        <v>8</v>
      </c>
      <c r="H258" s="54"/>
      <c r="I258" s="54"/>
      <c r="J258" s="9">
        <f>IF(I258="Staff",LOOKUP(F258,'Pattern lookup'!$A$4:$A$29,'Pattern lookup'!$D$4:$D$17),0)</f>
        <v>0</v>
      </c>
    </row>
    <row r="259" spans="1:10" x14ac:dyDescent="0.2">
      <c r="A259" t="s">
        <v>244</v>
      </c>
      <c r="B259" t="s">
        <v>245</v>
      </c>
      <c r="C259" t="s">
        <v>108</v>
      </c>
      <c r="D259" t="s">
        <v>100</v>
      </c>
      <c r="E259" t="s">
        <v>87</v>
      </c>
      <c r="F259" t="s">
        <v>314</v>
      </c>
      <c r="G259">
        <v>9</v>
      </c>
      <c r="H259" s="54"/>
      <c r="I259" s="54"/>
      <c r="J259" s="9">
        <f>IF(I259="Staff",LOOKUP(F259,'Pattern lookup'!$A$4:$A$29,'Pattern lookup'!$D$4:$D$17),0)</f>
        <v>0</v>
      </c>
    </row>
    <row r="260" spans="1:10" x14ac:dyDescent="0.2">
      <c r="A260" t="s">
        <v>244</v>
      </c>
      <c r="B260" t="s">
        <v>245</v>
      </c>
      <c r="C260" t="s">
        <v>108</v>
      </c>
      <c r="D260" t="s">
        <v>100</v>
      </c>
      <c r="E260" t="s">
        <v>87</v>
      </c>
      <c r="F260" t="s">
        <v>314</v>
      </c>
      <c r="G260">
        <v>10</v>
      </c>
      <c r="H260" s="54"/>
      <c r="I260" s="54"/>
      <c r="J260" s="9">
        <f>IF(I260="Staff",LOOKUP(F260,'Pattern lookup'!$A$4:$A$29,'Pattern lookup'!$D$4:$D$17),0)</f>
        <v>0</v>
      </c>
    </row>
    <row r="261" spans="1:10" x14ac:dyDescent="0.2">
      <c r="A261" t="s">
        <v>244</v>
      </c>
      <c r="B261" t="s">
        <v>245</v>
      </c>
      <c r="C261" t="s">
        <v>108</v>
      </c>
      <c r="D261" t="s">
        <v>100</v>
      </c>
      <c r="E261" t="s">
        <v>87</v>
      </c>
      <c r="F261" t="s">
        <v>314</v>
      </c>
      <c r="G261">
        <v>11</v>
      </c>
      <c r="H261" s="54"/>
      <c r="I261" s="54"/>
      <c r="J261" s="9">
        <f>IF(I261="Staff",LOOKUP(F261,'Pattern lookup'!$A$4:$A$29,'Pattern lookup'!$D$4:$D$17),0)</f>
        <v>0</v>
      </c>
    </row>
    <row r="262" spans="1:10" x14ac:dyDescent="0.2">
      <c r="A262" t="s">
        <v>244</v>
      </c>
      <c r="B262" t="s">
        <v>245</v>
      </c>
      <c r="C262" t="s">
        <v>108</v>
      </c>
      <c r="D262" t="s">
        <v>100</v>
      </c>
      <c r="E262" t="s">
        <v>87</v>
      </c>
      <c r="F262" t="s">
        <v>314</v>
      </c>
      <c r="G262">
        <v>12</v>
      </c>
      <c r="H262" s="54"/>
      <c r="I262" s="54"/>
      <c r="J262" s="9">
        <f>IF(I262="Staff",LOOKUP(F262,'Pattern lookup'!$A$4:$A$29,'Pattern lookup'!$D$4:$D$17),0)</f>
        <v>0</v>
      </c>
    </row>
    <row r="263" spans="1:10" x14ac:dyDescent="0.2">
      <c r="A263" t="s">
        <v>244</v>
      </c>
      <c r="B263" t="s">
        <v>245</v>
      </c>
      <c r="C263" t="s">
        <v>108</v>
      </c>
      <c r="D263" t="s">
        <v>100</v>
      </c>
      <c r="E263" t="s">
        <v>87</v>
      </c>
      <c r="F263" t="s">
        <v>314</v>
      </c>
      <c r="G263">
        <v>13</v>
      </c>
      <c r="H263" s="54"/>
      <c r="I263" s="54"/>
      <c r="J263" s="9">
        <f>IF(I263="Staff",LOOKUP(F263,'Pattern lookup'!$A$4:$A$29,'Pattern lookup'!$D$4:$D$17),0)</f>
        <v>0</v>
      </c>
    </row>
    <row r="264" spans="1:10" x14ac:dyDescent="0.2">
      <c r="A264" t="s">
        <v>244</v>
      </c>
      <c r="B264" t="s">
        <v>245</v>
      </c>
      <c r="C264" t="s">
        <v>108</v>
      </c>
      <c r="D264" t="s">
        <v>100</v>
      </c>
      <c r="E264" t="s">
        <v>87</v>
      </c>
      <c r="F264" t="s">
        <v>314</v>
      </c>
      <c r="G264">
        <v>14</v>
      </c>
      <c r="H264" s="54"/>
      <c r="I264" s="54"/>
      <c r="J264" s="9">
        <f>IF(I264="Staff",LOOKUP(F264,'Pattern lookup'!$A$4:$A$29,'Pattern lookup'!$D$4:$D$17),0)</f>
        <v>0</v>
      </c>
    </row>
    <row r="265" spans="1:10" x14ac:dyDescent="0.2">
      <c r="A265" t="s">
        <v>244</v>
      </c>
      <c r="B265" t="s">
        <v>245</v>
      </c>
      <c r="C265" t="s">
        <v>108</v>
      </c>
      <c r="D265" t="s">
        <v>100</v>
      </c>
      <c r="E265" t="s">
        <v>87</v>
      </c>
      <c r="F265" t="s">
        <v>314</v>
      </c>
      <c r="G265">
        <v>15</v>
      </c>
      <c r="H265" s="54"/>
      <c r="I265" s="54"/>
      <c r="J265" s="9">
        <f>IF(I265="Staff",LOOKUP(F265,'Pattern lookup'!$A$4:$A$29,'Pattern lookup'!$D$4:$D$17),0)</f>
        <v>0</v>
      </c>
    </row>
    <row r="266" spans="1:10" x14ac:dyDescent="0.2">
      <c r="A266" t="s">
        <v>244</v>
      </c>
      <c r="B266" t="s">
        <v>245</v>
      </c>
      <c r="C266" t="s">
        <v>108</v>
      </c>
      <c r="D266" t="s">
        <v>100</v>
      </c>
      <c r="E266" t="s">
        <v>87</v>
      </c>
      <c r="F266" t="s">
        <v>314</v>
      </c>
      <c r="G266">
        <v>16</v>
      </c>
      <c r="H266" s="54"/>
      <c r="I266" s="54"/>
      <c r="J266" s="9">
        <f>IF(I266="Staff",LOOKUP(F266,'Pattern lookup'!$A$4:$A$29,'Pattern lookup'!$D$4:$D$17),0)</f>
        <v>0</v>
      </c>
    </row>
    <row r="267" spans="1:10" x14ac:dyDescent="0.2">
      <c r="A267" t="s">
        <v>244</v>
      </c>
      <c r="B267" t="s">
        <v>245</v>
      </c>
      <c r="C267" t="s">
        <v>108</v>
      </c>
      <c r="D267" t="s">
        <v>100</v>
      </c>
      <c r="E267" t="s">
        <v>87</v>
      </c>
      <c r="F267" t="s">
        <v>314</v>
      </c>
      <c r="G267">
        <v>17</v>
      </c>
      <c r="H267" s="54"/>
      <c r="I267" s="54"/>
      <c r="J267" s="9">
        <f>IF(I267="Staff",LOOKUP(F267,'Pattern lookup'!$A$4:$A$29,'Pattern lookup'!$D$4:$D$17),0)</f>
        <v>0</v>
      </c>
    </row>
    <row r="268" spans="1:10" x14ac:dyDescent="0.2">
      <c r="A268" t="s">
        <v>244</v>
      </c>
      <c r="B268" t="s">
        <v>245</v>
      </c>
      <c r="C268" t="s">
        <v>108</v>
      </c>
      <c r="D268" t="s">
        <v>100</v>
      </c>
      <c r="E268" t="s">
        <v>87</v>
      </c>
      <c r="F268" t="s">
        <v>314</v>
      </c>
      <c r="G268">
        <v>18</v>
      </c>
      <c r="H268" s="54"/>
      <c r="I268" s="54"/>
      <c r="J268" s="9">
        <f>IF(I268="Staff",LOOKUP(F268,'Pattern lookup'!$A$4:$A$29,'Pattern lookup'!$D$4:$D$17),0)</f>
        <v>0</v>
      </c>
    </row>
    <row r="269" spans="1:10" x14ac:dyDescent="0.2">
      <c r="A269" t="s">
        <v>244</v>
      </c>
      <c r="B269" t="s">
        <v>245</v>
      </c>
      <c r="C269" t="s">
        <v>108</v>
      </c>
      <c r="D269" t="s">
        <v>100</v>
      </c>
      <c r="E269" t="s">
        <v>87</v>
      </c>
      <c r="F269" t="s">
        <v>314</v>
      </c>
      <c r="G269">
        <v>19</v>
      </c>
      <c r="H269" s="54"/>
      <c r="I269" s="54"/>
      <c r="J269" s="9">
        <f>IF(I269="Staff",LOOKUP(F269,'Pattern lookup'!$A$4:$A$29,'Pattern lookup'!$D$4:$D$17),0)</f>
        <v>0</v>
      </c>
    </row>
    <row r="270" spans="1:10" x14ac:dyDescent="0.2">
      <c r="A270" t="s">
        <v>244</v>
      </c>
      <c r="B270" t="s">
        <v>245</v>
      </c>
      <c r="C270" t="s">
        <v>108</v>
      </c>
      <c r="D270" t="s">
        <v>100</v>
      </c>
      <c r="E270" t="s">
        <v>87</v>
      </c>
      <c r="F270" t="s">
        <v>314</v>
      </c>
      <c r="G270">
        <v>20</v>
      </c>
      <c r="H270" s="54"/>
      <c r="I270" s="54"/>
      <c r="J270" s="9">
        <f>IF(I270="Staff",LOOKUP(F270,'Pattern lookup'!$A$4:$A$29,'Pattern lookup'!$D$4:$D$17),0)</f>
        <v>0</v>
      </c>
    </row>
    <row r="271" spans="1:10" x14ac:dyDescent="0.2">
      <c r="A271" t="s">
        <v>244</v>
      </c>
      <c r="B271" t="s">
        <v>245</v>
      </c>
      <c r="C271" t="s">
        <v>108</v>
      </c>
      <c r="D271" t="s">
        <v>100</v>
      </c>
      <c r="E271" t="s">
        <v>88</v>
      </c>
      <c r="F271" t="s">
        <v>48</v>
      </c>
      <c r="G271">
        <v>1</v>
      </c>
      <c r="H271" s="54"/>
      <c r="I271" s="54"/>
      <c r="J271" s="9">
        <f>IF(I271="Staff",LOOKUP(F271,'Pattern lookup'!$A$4:$A$29,'Pattern lookup'!$D$4:$D$17),0)</f>
        <v>0</v>
      </c>
    </row>
    <row r="272" spans="1:10" x14ac:dyDescent="0.2">
      <c r="A272" t="s">
        <v>244</v>
      </c>
      <c r="B272" t="s">
        <v>245</v>
      </c>
      <c r="C272" t="s">
        <v>108</v>
      </c>
      <c r="D272" t="s">
        <v>100</v>
      </c>
      <c r="E272" t="s">
        <v>88</v>
      </c>
      <c r="F272" t="s">
        <v>48</v>
      </c>
      <c r="G272">
        <v>2</v>
      </c>
      <c r="H272" s="54"/>
      <c r="I272" s="54"/>
      <c r="J272" s="9">
        <f>IF(I272="Staff",LOOKUP(F272,'Pattern lookup'!$A$4:$A$29,'Pattern lookup'!$D$4:$D$17),0)</f>
        <v>0</v>
      </c>
    </row>
    <row r="273" spans="1:10" x14ac:dyDescent="0.2">
      <c r="A273" t="s">
        <v>362</v>
      </c>
      <c r="B273" t="s">
        <v>365</v>
      </c>
      <c r="C273" t="s">
        <v>363</v>
      </c>
      <c r="D273" t="s">
        <v>364</v>
      </c>
      <c r="E273" t="s">
        <v>88</v>
      </c>
      <c r="F273" t="s">
        <v>55</v>
      </c>
      <c r="G273">
        <v>1</v>
      </c>
      <c r="H273" s="54"/>
      <c r="I273" s="54"/>
      <c r="J273" s="9">
        <f>IF(I273="Staff",LOOKUP(F273,'Pattern lookup'!$A$4:$A$29,'Pattern lookup'!$D$4:$D$17),0)</f>
        <v>0</v>
      </c>
    </row>
    <row r="274" spans="1:10" x14ac:dyDescent="0.2">
      <c r="A274" t="s">
        <v>362</v>
      </c>
      <c r="B274" t="s">
        <v>365</v>
      </c>
      <c r="C274" t="s">
        <v>363</v>
      </c>
      <c r="D274" t="s">
        <v>364</v>
      </c>
      <c r="E274" t="s">
        <v>88</v>
      </c>
      <c r="F274" t="s">
        <v>55</v>
      </c>
      <c r="G274">
        <v>2</v>
      </c>
      <c r="H274" s="54"/>
      <c r="I274" s="54"/>
      <c r="J274" s="9">
        <f>IF(I274="Staff",LOOKUP(F274,'Pattern lookup'!$A$4:$A$29,'Pattern lookup'!$D$4:$D$17),0)</f>
        <v>0</v>
      </c>
    </row>
    <row r="275" spans="1:10" x14ac:dyDescent="0.2">
      <c r="A275" t="s">
        <v>362</v>
      </c>
      <c r="B275" t="s">
        <v>365</v>
      </c>
      <c r="C275" t="s">
        <v>363</v>
      </c>
      <c r="D275" t="s">
        <v>364</v>
      </c>
      <c r="E275" t="s">
        <v>88</v>
      </c>
      <c r="F275" t="s">
        <v>55</v>
      </c>
      <c r="G275">
        <v>3</v>
      </c>
      <c r="H275" s="54"/>
      <c r="I275" s="54"/>
      <c r="J275" s="9">
        <f>IF(I275="Staff",LOOKUP(F275,'Pattern lookup'!$A$4:$A$29,'Pattern lookup'!$D$4:$D$17),0)</f>
        <v>0</v>
      </c>
    </row>
    <row r="276" spans="1:10" x14ac:dyDescent="0.2">
      <c r="A276" t="s">
        <v>362</v>
      </c>
      <c r="B276" t="s">
        <v>365</v>
      </c>
      <c r="C276" t="s">
        <v>363</v>
      </c>
      <c r="D276" t="s">
        <v>364</v>
      </c>
      <c r="E276" t="s">
        <v>88</v>
      </c>
      <c r="F276" t="s">
        <v>55</v>
      </c>
      <c r="G276">
        <v>4</v>
      </c>
      <c r="H276" s="54"/>
      <c r="I276" s="54"/>
      <c r="J276" s="9">
        <f>IF(I276="Staff",LOOKUP(F276,'Pattern lookup'!$A$4:$A$29,'Pattern lookup'!$D$4:$D$17),0)</f>
        <v>0</v>
      </c>
    </row>
    <row r="277" spans="1:10" x14ac:dyDescent="0.2">
      <c r="A277" t="s">
        <v>362</v>
      </c>
      <c r="B277" t="s">
        <v>365</v>
      </c>
      <c r="C277" t="s">
        <v>366</v>
      </c>
      <c r="D277" t="s">
        <v>364</v>
      </c>
      <c r="E277" t="s">
        <v>88</v>
      </c>
      <c r="F277" t="s">
        <v>55</v>
      </c>
      <c r="G277">
        <v>1</v>
      </c>
      <c r="H277" s="54"/>
      <c r="I277" s="54"/>
      <c r="J277" s="9">
        <f>IF(I277="Staff",LOOKUP(F277,'Pattern lookup'!$A$4:$A$29,'Pattern lookup'!$D$4:$D$17),0)</f>
        <v>0</v>
      </c>
    </row>
    <row r="278" spans="1:10" x14ac:dyDescent="0.2">
      <c r="A278" t="s">
        <v>362</v>
      </c>
      <c r="B278" t="s">
        <v>365</v>
      </c>
      <c r="C278" t="s">
        <v>366</v>
      </c>
      <c r="D278" t="s">
        <v>364</v>
      </c>
      <c r="E278" t="s">
        <v>88</v>
      </c>
      <c r="F278" t="s">
        <v>55</v>
      </c>
      <c r="G278">
        <v>2</v>
      </c>
      <c r="H278" s="54"/>
      <c r="I278" s="54"/>
      <c r="J278" s="9">
        <f>IF(I278="Staff",LOOKUP(F278,'Pattern lookup'!$A$4:$A$29,'Pattern lookup'!$D$4:$D$17),0)</f>
        <v>0</v>
      </c>
    </row>
    <row r="279" spans="1:10" x14ac:dyDescent="0.2">
      <c r="A279" t="s">
        <v>362</v>
      </c>
      <c r="B279" t="s">
        <v>365</v>
      </c>
      <c r="C279" t="s">
        <v>366</v>
      </c>
      <c r="D279" t="s">
        <v>364</v>
      </c>
      <c r="E279" t="s">
        <v>88</v>
      </c>
      <c r="F279" t="s">
        <v>55</v>
      </c>
      <c r="G279">
        <v>3</v>
      </c>
      <c r="H279" s="54"/>
      <c r="I279" s="54"/>
      <c r="J279" s="9">
        <f>IF(I279="Staff",LOOKUP(F279,'Pattern lookup'!$A$4:$A$29,'Pattern lookup'!$D$4:$D$17),0)</f>
        <v>0</v>
      </c>
    </row>
    <row r="280" spans="1:10" x14ac:dyDescent="0.2">
      <c r="A280" t="s">
        <v>362</v>
      </c>
      <c r="B280" t="s">
        <v>365</v>
      </c>
      <c r="C280" t="s">
        <v>366</v>
      </c>
      <c r="D280" t="s">
        <v>364</v>
      </c>
      <c r="E280" t="s">
        <v>88</v>
      </c>
      <c r="F280" t="s">
        <v>55</v>
      </c>
      <c r="G280">
        <v>4</v>
      </c>
      <c r="H280" s="54"/>
      <c r="I280" s="54"/>
      <c r="J280" s="9">
        <f>IF(I280="Staff",LOOKUP(F280,'Pattern lookup'!$A$4:$A$29,'Pattern lookup'!$D$4:$D$17),0)</f>
        <v>0</v>
      </c>
    </row>
  </sheetData>
  <mergeCells count="1">
    <mergeCell ref="A1:J1"/>
  </mergeCells>
  <dataValidations count="1">
    <dataValidation type="list" allowBlank="1" showInputMessage="1" showErrorMessage="1" sqref="H5:H280">
      <formula1>Staff</formula1>
    </dataValidation>
  </dataValidations>
  <pageMargins left="0.7" right="0.7" top="0.75" bottom="0.75" header="0.3" footer="0.3"/>
  <pageSetup paperSize="8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1"/>
  <sheetViews>
    <sheetView workbookViewId="0">
      <selection activeCell="B14" sqref="B14"/>
    </sheetView>
  </sheetViews>
  <sheetFormatPr baseColWidth="10" defaultColWidth="8.83203125" defaultRowHeight="15" x14ac:dyDescent="0.2"/>
  <cols>
    <col min="1" max="1" width="39.1640625" customWidth="1"/>
    <col min="2" max="2" width="16.33203125" customWidth="1"/>
    <col min="3" max="3" width="3.5" customWidth="1"/>
    <col min="4" max="5" width="4" customWidth="1"/>
    <col min="6" max="6" width="4.33203125" customWidth="1"/>
    <col min="7" max="7" width="4.1640625" customWidth="1"/>
    <col min="8" max="8" width="4.33203125" customWidth="1"/>
    <col min="9" max="9" width="4.1640625" customWidth="1"/>
    <col min="10" max="10" width="4.33203125" customWidth="1"/>
    <col min="11" max="11" width="11.33203125" bestFit="1" customWidth="1"/>
    <col min="12" max="12" width="5" bestFit="1" customWidth="1"/>
    <col min="13" max="13" width="14" bestFit="1" customWidth="1"/>
    <col min="14" max="14" width="7" bestFit="1" customWidth="1"/>
    <col min="15" max="15" width="6.83203125" bestFit="1" customWidth="1"/>
    <col min="16" max="16" width="10" bestFit="1" customWidth="1"/>
    <col min="17" max="17" width="6.83203125" bestFit="1" customWidth="1"/>
    <col min="18" max="18" width="9.83203125" bestFit="1" customWidth="1"/>
    <col min="19" max="19" width="13.5" bestFit="1" customWidth="1"/>
    <col min="20" max="20" width="4" bestFit="1" customWidth="1"/>
    <col min="21" max="21" width="16.6640625" bestFit="1" customWidth="1"/>
    <col min="22" max="22" width="7.5" bestFit="1" customWidth="1"/>
    <col min="23" max="24" width="4.1640625" bestFit="1" customWidth="1"/>
    <col min="25" max="25" width="10.5" bestFit="1" customWidth="1"/>
    <col min="27" max="27" width="12.1640625" bestFit="1" customWidth="1"/>
    <col min="28" max="28" width="11.33203125" bestFit="1" customWidth="1"/>
  </cols>
  <sheetData>
    <row r="1" spans="1:11" x14ac:dyDescent="0.2">
      <c r="A1" s="124" t="s">
        <v>352</v>
      </c>
      <c r="B1" t="s">
        <v>457</v>
      </c>
    </row>
    <row r="3" spans="1:11" x14ac:dyDescent="0.2">
      <c r="A3" s="124" t="s">
        <v>405</v>
      </c>
      <c r="B3" s="124" t="s">
        <v>404</v>
      </c>
    </row>
    <row r="4" spans="1:11" x14ac:dyDescent="0.2">
      <c r="A4" s="124" t="s">
        <v>391</v>
      </c>
      <c r="B4" t="s">
        <v>443</v>
      </c>
      <c r="C4" t="s">
        <v>444</v>
      </c>
      <c r="D4" t="s">
        <v>108</v>
      </c>
      <c r="E4" t="s">
        <v>99</v>
      </c>
      <c r="F4" t="s">
        <v>141</v>
      </c>
      <c r="G4" t="s">
        <v>153</v>
      </c>
      <c r="H4" t="s">
        <v>143</v>
      </c>
      <c r="I4" t="s">
        <v>172</v>
      </c>
      <c r="J4" t="s">
        <v>144</v>
      </c>
      <c r="K4" t="s">
        <v>253</v>
      </c>
    </row>
    <row r="5" spans="1:11" x14ac:dyDescent="0.2">
      <c r="A5" s="125" t="s">
        <v>156</v>
      </c>
      <c r="B5" s="126">
        <v>47</v>
      </c>
      <c r="C5" s="126"/>
      <c r="D5" s="126">
        <v>241</v>
      </c>
      <c r="E5" s="126"/>
      <c r="F5" s="126">
        <v>59</v>
      </c>
      <c r="G5" s="126">
        <v>59</v>
      </c>
      <c r="H5" s="126">
        <v>59</v>
      </c>
      <c r="I5" s="126">
        <v>59</v>
      </c>
      <c r="J5" s="126">
        <v>59</v>
      </c>
      <c r="K5" s="126">
        <v>583</v>
      </c>
    </row>
    <row r="6" spans="1:11" x14ac:dyDescent="0.2">
      <c r="A6" s="125" t="s">
        <v>183</v>
      </c>
      <c r="B6" s="126"/>
      <c r="C6" s="126">
        <v>41</v>
      </c>
      <c r="D6" s="126"/>
      <c r="E6" s="126">
        <v>195.6</v>
      </c>
      <c r="F6" s="126">
        <v>59</v>
      </c>
      <c r="G6" s="126"/>
      <c r="H6" s="126"/>
      <c r="I6" s="126">
        <v>59</v>
      </c>
      <c r="J6" s="126">
        <v>59</v>
      </c>
      <c r="K6" s="126">
        <v>413.6</v>
      </c>
    </row>
    <row r="7" spans="1:11" x14ac:dyDescent="0.2">
      <c r="A7" s="125" t="s">
        <v>248</v>
      </c>
      <c r="B7" s="126"/>
      <c r="C7" s="126"/>
      <c r="D7" s="126">
        <v>6.3000000000000007</v>
      </c>
      <c r="E7" s="126"/>
      <c r="F7" s="126"/>
      <c r="G7" s="126"/>
      <c r="H7" s="126"/>
      <c r="I7" s="126"/>
      <c r="J7" s="126"/>
      <c r="K7" s="126">
        <v>6.3000000000000007</v>
      </c>
    </row>
    <row r="8" spans="1:11" x14ac:dyDescent="0.2">
      <c r="A8" s="125" t="s">
        <v>227</v>
      </c>
      <c r="B8" s="126"/>
      <c r="C8" s="126"/>
      <c r="D8" s="126">
        <v>4.2</v>
      </c>
      <c r="E8" s="126"/>
      <c r="F8" s="126"/>
      <c r="G8" s="126"/>
      <c r="H8" s="126"/>
      <c r="I8" s="126"/>
      <c r="J8" s="126"/>
      <c r="K8" s="126">
        <v>4.2</v>
      </c>
    </row>
    <row r="9" spans="1:11" x14ac:dyDescent="0.2">
      <c r="A9" s="125" t="s">
        <v>207</v>
      </c>
      <c r="B9" s="126"/>
      <c r="C9" s="126"/>
      <c r="D9" s="126"/>
      <c r="E9" s="126">
        <v>8.4</v>
      </c>
      <c r="F9" s="126"/>
      <c r="G9" s="126"/>
      <c r="H9" s="126"/>
      <c r="I9" s="126"/>
      <c r="J9" s="126"/>
      <c r="K9" s="126">
        <v>8.4</v>
      </c>
    </row>
    <row r="10" spans="1:11" x14ac:dyDescent="0.2">
      <c r="A10" s="125" t="s">
        <v>232</v>
      </c>
      <c r="B10" s="126"/>
      <c r="C10" s="126"/>
      <c r="D10" s="126">
        <v>186.5</v>
      </c>
      <c r="E10" s="126"/>
      <c r="F10" s="126"/>
      <c r="G10" s="126"/>
      <c r="H10" s="126"/>
      <c r="I10" s="126"/>
      <c r="J10" s="126"/>
      <c r="K10" s="126">
        <v>186.5</v>
      </c>
    </row>
    <row r="11" spans="1:11" x14ac:dyDescent="0.2">
      <c r="A11" s="125" t="s">
        <v>253</v>
      </c>
      <c r="B11" s="126">
        <v>47</v>
      </c>
      <c r="C11" s="126">
        <v>41</v>
      </c>
      <c r="D11" s="126">
        <v>438</v>
      </c>
      <c r="E11" s="126">
        <v>204</v>
      </c>
      <c r="F11" s="126">
        <v>118</v>
      </c>
      <c r="G11" s="126">
        <v>59</v>
      </c>
      <c r="H11" s="126">
        <v>59</v>
      </c>
      <c r="I11" s="126">
        <v>118</v>
      </c>
      <c r="J11" s="126">
        <v>118</v>
      </c>
      <c r="K11" s="126">
        <v>1202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43"/>
  <sheetViews>
    <sheetView workbookViewId="0">
      <selection activeCell="F21" sqref="F21"/>
    </sheetView>
  </sheetViews>
  <sheetFormatPr baseColWidth="10" defaultColWidth="8.83203125" defaultRowHeight="15" x14ac:dyDescent="0.2"/>
  <cols>
    <col min="2" max="2" width="49.5" customWidth="1"/>
    <col min="3" max="3" width="10.5" customWidth="1"/>
    <col min="4" max="4" width="12.83203125" customWidth="1"/>
    <col min="5" max="5" width="12.33203125" customWidth="1"/>
    <col min="6" max="6" width="14.5" customWidth="1"/>
    <col min="7" max="8" width="16.1640625" customWidth="1"/>
    <col min="9" max="9" width="14.83203125" customWidth="1"/>
    <col min="10" max="10" width="45.5" customWidth="1"/>
    <col min="11" max="11" width="15.6640625" customWidth="1"/>
    <col min="12" max="12" width="14" customWidth="1"/>
    <col min="13" max="13" width="18.5" bestFit="1" customWidth="1"/>
    <col min="14" max="14" width="12" customWidth="1"/>
    <col min="15" max="15" width="17.6640625" customWidth="1"/>
    <col min="16" max="16" width="20.5" customWidth="1"/>
  </cols>
  <sheetData>
    <row r="1" spans="1:9" ht="36" customHeight="1" x14ac:dyDescent="0.2">
      <c r="A1" s="135" t="s">
        <v>401</v>
      </c>
      <c r="B1" s="135"/>
      <c r="C1" s="135"/>
    </row>
    <row r="2" spans="1:9" x14ac:dyDescent="0.2">
      <c r="A2" s="1" t="s">
        <v>114</v>
      </c>
      <c r="B2" s="1" t="s">
        <v>115</v>
      </c>
    </row>
    <row r="3" spans="1:9" ht="45" x14ac:dyDescent="0.2">
      <c r="C3" s="3" t="s">
        <v>84</v>
      </c>
      <c r="D3" s="3" t="s">
        <v>85</v>
      </c>
      <c r="E3" s="3" t="s">
        <v>86</v>
      </c>
      <c r="F3" s="3" t="s">
        <v>286</v>
      </c>
      <c r="G3" s="3" t="s">
        <v>360</v>
      </c>
      <c r="H3" s="3" t="s">
        <v>421</v>
      </c>
      <c r="I3" s="3"/>
    </row>
    <row r="4" spans="1:9" x14ac:dyDescent="0.2">
      <c r="A4" t="s">
        <v>314</v>
      </c>
      <c r="B4" s="3" t="s">
        <v>321</v>
      </c>
      <c r="C4">
        <f>'Pattern detail'!AH$37</f>
        <v>53</v>
      </c>
      <c r="D4">
        <f>'Pattern detail'!$AH$51</f>
        <v>36</v>
      </c>
      <c r="E4">
        <f>'Pattern detail'!$AH$60</f>
        <v>0.2</v>
      </c>
      <c r="F4">
        <v>15</v>
      </c>
      <c r="G4">
        <v>2</v>
      </c>
      <c r="H4">
        <v>24</v>
      </c>
    </row>
    <row r="5" spans="1:9" x14ac:dyDescent="0.2">
      <c r="A5" t="s">
        <v>278</v>
      </c>
      <c r="B5" s="3" t="s">
        <v>275</v>
      </c>
      <c r="C5">
        <f>'Pattern detail'!AF$37</f>
        <v>3</v>
      </c>
      <c r="D5">
        <f>'Pattern detail'!$AF$51</f>
        <v>15</v>
      </c>
      <c r="E5">
        <f>'Pattern detail'!$AF$60</f>
        <v>0.35</v>
      </c>
      <c r="F5">
        <v>1</v>
      </c>
      <c r="G5">
        <v>1</v>
      </c>
      <c r="H5">
        <v>12</v>
      </c>
    </row>
    <row r="6" spans="1:9" x14ac:dyDescent="0.2">
      <c r="A6" t="s">
        <v>47</v>
      </c>
      <c r="B6" s="3" t="s">
        <v>72</v>
      </c>
      <c r="C6">
        <f>'Pattern detail'!D$37</f>
        <v>164</v>
      </c>
      <c r="D6">
        <f>'Pattern detail'!$D$51</f>
        <v>34.5</v>
      </c>
      <c r="E6">
        <f>'Pattern detail'!$D$60</f>
        <v>0.7</v>
      </c>
      <c r="F6">
        <v>15</v>
      </c>
      <c r="G6">
        <v>1</v>
      </c>
      <c r="H6">
        <v>12</v>
      </c>
    </row>
    <row r="7" spans="1:9" x14ac:dyDescent="0.2">
      <c r="A7" t="s">
        <v>426</v>
      </c>
      <c r="B7" s="3" t="s">
        <v>430</v>
      </c>
      <c r="C7">
        <f>'Pattern detail'!AL37</f>
        <v>37</v>
      </c>
      <c r="D7">
        <f>'Pattern detail'!AL51</f>
        <v>0</v>
      </c>
      <c r="E7">
        <f>'Pattern detail'!AL60</f>
        <v>0.35</v>
      </c>
      <c r="F7">
        <v>0</v>
      </c>
      <c r="G7">
        <v>0</v>
      </c>
      <c r="H7">
        <v>0</v>
      </c>
    </row>
    <row r="8" spans="1:9" x14ac:dyDescent="0.2">
      <c r="A8" t="s">
        <v>48</v>
      </c>
      <c r="B8" s="3" t="s">
        <v>73</v>
      </c>
      <c r="C8">
        <f>'Pattern detail'!F$37</f>
        <v>2</v>
      </c>
      <c r="D8">
        <f>'Pattern detail'!$F$51</f>
        <v>22.5</v>
      </c>
      <c r="E8">
        <f>'Pattern detail'!$F$60</f>
        <v>0.6</v>
      </c>
      <c r="F8">
        <v>15</v>
      </c>
      <c r="G8">
        <v>1</v>
      </c>
      <c r="H8">
        <v>12</v>
      </c>
    </row>
    <row r="9" spans="1:9" x14ac:dyDescent="0.2">
      <c r="A9" t="s">
        <v>55</v>
      </c>
      <c r="B9" s="3" t="s">
        <v>74</v>
      </c>
      <c r="C9">
        <f>'Pattern detail'!H$37</f>
        <v>28</v>
      </c>
      <c r="D9">
        <f>'Pattern detail'!$H$51</f>
        <v>22.5</v>
      </c>
      <c r="E9">
        <f>'Pattern detail'!$H$60</f>
        <v>0.6</v>
      </c>
      <c r="F9">
        <v>15</v>
      </c>
      <c r="G9">
        <v>1</v>
      </c>
      <c r="H9">
        <v>12</v>
      </c>
    </row>
    <row r="10" spans="1:9" x14ac:dyDescent="0.2">
      <c r="A10" t="s">
        <v>56</v>
      </c>
      <c r="B10" s="3" t="s">
        <v>75</v>
      </c>
      <c r="C10">
        <f>'Pattern detail'!J$37</f>
        <v>29</v>
      </c>
      <c r="D10">
        <f>'Pattern detail'!$J$51</f>
        <v>34.5</v>
      </c>
      <c r="E10">
        <f>'Pattern detail'!$J$60</f>
        <v>0.7</v>
      </c>
      <c r="F10">
        <v>15</v>
      </c>
      <c r="H10">
        <v>0</v>
      </c>
    </row>
    <row r="11" spans="1:9" x14ac:dyDescent="0.2">
      <c r="A11" t="s">
        <v>57</v>
      </c>
      <c r="B11" s="3" t="s">
        <v>76</v>
      </c>
      <c r="C11">
        <f>'Pattern detail'!L$37</f>
        <v>13</v>
      </c>
      <c r="D11">
        <f>'Pattern detail'!$L$51</f>
        <v>0</v>
      </c>
      <c r="E11">
        <f>'Pattern detail'!$L$60</f>
        <v>0.6</v>
      </c>
      <c r="F11">
        <v>0</v>
      </c>
      <c r="H11">
        <v>0</v>
      </c>
    </row>
    <row r="12" spans="1:9" x14ac:dyDescent="0.2">
      <c r="A12" t="s">
        <v>58</v>
      </c>
      <c r="B12" s="3" t="s">
        <v>77</v>
      </c>
      <c r="C12">
        <f>'Pattern detail'!N$37</f>
        <v>35</v>
      </c>
      <c r="D12">
        <f>'Pattern detail'!$N$51</f>
        <v>0</v>
      </c>
      <c r="E12">
        <f>'Pattern detail'!$N$60</f>
        <v>0.6</v>
      </c>
      <c r="F12">
        <v>0</v>
      </c>
      <c r="H12">
        <v>0</v>
      </c>
    </row>
    <row r="13" spans="1:9" x14ac:dyDescent="0.2">
      <c r="A13" t="s">
        <v>59</v>
      </c>
      <c r="B13" s="3" t="s">
        <v>78</v>
      </c>
      <c r="C13">
        <f>'Pattern detail'!P$37</f>
        <v>12</v>
      </c>
      <c r="D13">
        <f>'Pattern detail'!$P$51</f>
        <v>34.5</v>
      </c>
      <c r="E13">
        <f>'Pattern detail'!$P$60</f>
        <v>0.7</v>
      </c>
      <c r="F13">
        <v>15</v>
      </c>
      <c r="G13">
        <v>2</v>
      </c>
      <c r="H13">
        <v>24</v>
      </c>
    </row>
    <row r="14" spans="1:9" x14ac:dyDescent="0.2">
      <c r="A14" t="s">
        <v>110</v>
      </c>
      <c r="B14" s="3" t="s">
        <v>111</v>
      </c>
      <c r="C14">
        <f>'Pattern detail'!R$37</f>
        <v>56</v>
      </c>
      <c r="D14">
        <f>'Pattern detail'!$R$51</f>
        <v>34.5</v>
      </c>
      <c r="E14">
        <f>'Pattern detail'!$R$60</f>
        <v>0.7</v>
      </c>
      <c r="F14">
        <v>15</v>
      </c>
      <c r="G14">
        <v>2</v>
      </c>
      <c r="H14">
        <v>24</v>
      </c>
    </row>
    <row r="15" spans="1:9" x14ac:dyDescent="0.2">
      <c r="A15" t="s">
        <v>260</v>
      </c>
      <c r="B15" s="3" t="s">
        <v>262</v>
      </c>
      <c r="C15">
        <f>'Pattern detail'!T$37</f>
        <v>163</v>
      </c>
      <c r="D15">
        <f>'Pattern detail'!$T$51</f>
        <v>46.5</v>
      </c>
      <c r="E15">
        <f>'Pattern detail'!$T$60</f>
        <v>0.7</v>
      </c>
      <c r="F15">
        <v>15</v>
      </c>
      <c r="G15">
        <v>2</v>
      </c>
      <c r="H15">
        <v>24</v>
      </c>
    </row>
    <row r="16" spans="1:9" ht="15.75" customHeight="1" x14ac:dyDescent="0.2">
      <c r="A16" t="s">
        <v>295</v>
      </c>
      <c r="B16" s="3" t="s">
        <v>296</v>
      </c>
      <c r="C16">
        <f>'Pattern detail'!AD$37</f>
        <v>0</v>
      </c>
      <c r="D16">
        <f>'Pattern detail'!$AD$51</f>
        <v>0</v>
      </c>
      <c r="E16">
        <f>'Pattern detail'!$AD$60</f>
        <v>2.1</v>
      </c>
      <c r="F16">
        <v>0</v>
      </c>
      <c r="H16">
        <v>0</v>
      </c>
    </row>
    <row r="17" spans="1:11" ht="15" customHeight="1" x14ac:dyDescent="0.2">
      <c r="A17" t="s">
        <v>277</v>
      </c>
      <c r="B17" s="3" t="s">
        <v>274</v>
      </c>
      <c r="C17">
        <f>'Pattern detail'!X$37</f>
        <v>122</v>
      </c>
      <c r="D17">
        <f>'Pattern detail'!$X$51</f>
        <v>17</v>
      </c>
      <c r="E17">
        <f>'Pattern detail'!$X$60</f>
        <v>0.7</v>
      </c>
      <c r="F17">
        <v>6</v>
      </c>
      <c r="G17">
        <v>1</v>
      </c>
      <c r="H17">
        <v>12</v>
      </c>
    </row>
    <row r="18" spans="1:11" x14ac:dyDescent="0.2">
      <c r="A18" t="s">
        <v>287</v>
      </c>
      <c r="B18" s="3" t="s">
        <v>288</v>
      </c>
      <c r="C18">
        <f>'Pattern detail'!Z$37</f>
        <v>2</v>
      </c>
      <c r="D18">
        <f>'Pattern detail'!$Z$51</f>
        <v>17</v>
      </c>
      <c r="E18">
        <f>'Pattern detail'!$Z$60</f>
        <v>0.7</v>
      </c>
      <c r="F18">
        <v>6</v>
      </c>
      <c r="G18">
        <v>1</v>
      </c>
      <c r="H18">
        <v>12</v>
      </c>
    </row>
    <row r="19" spans="1:11" x14ac:dyDescent="0.2">
      <c r="A19" t="s">
        <v>289</v>
      </c>
      <c r="B19" s="3" t="s">
        <v>290</v>
      </c>
      <c r="C19">
        <f>'Pattern detail'!AB$37</f>
        <v>41</v>
      </c>
      <c r="D19">
        <f>'Pattern detail'!$AB$51</f>
        <v>0</v>
      </c>
      <c r="E19">
        <f>'Pattern detail'!$AB$60</f>
        <v>0.6</v>
      </c>
      <c r="F19">
        <v>0</v>
      </c>
      <c r="H19">
        <v>0</v>
      </c>
    </row>
    <row r="20" spans="1:11" x14ac:dyDescent="0.2">
      <c r="A20" t="s">
        <v>268</v>
      </c>
      <c r="B20" s="3" t="s">
        <v>44</v>
      </c>
      <c r="C20">
        <f>'Pattern detail'!V$37</f>
        <v>110</v>
      </c>
      <c r="D20">
        <f>'Pattern detail'!$V$51</f>
        <v>66</v>
      </c>
      <c r="E20">
        <f>'Pattern detail'!$V$60</f>
        <v>0.7</v>
      </c>
      <c r="F20">
        <v>20</v>
      </c>
      <c r="G20">
        <v>0</v>
      </c>
      <c r="H20">
        <v>0</v>
      </c>
    </row>
    <row r="21" spans="1:11" x14ac:dyDescent="0.2">
      <c r="A21" t="s">
        <v>279</v>
      </c>
      <c r="B21" s="3" t="s">
        <v>280</v>
      </c>
      <c r="C21">
        <f>'Pattern detail'!AJ$37</f>
        <v>15</v>
      </c>
      <c r="D21">
        <f>'Pattern detail'!$AJ$51</f>
        <v>15</v>
      </c>
      <c r="E21">
        <f>'Pattern detail'!$AJ$60</f>
        <v>0.35</v>
      </c>
      <c r="F21">
        <v>1</v>
      </c>
      <c r="G21">
        <v>1</v>
      </c>
      <c r="H21">
        <v>1</v>
      </c>
    </row>
    <row r="23" spans="1:11" x14ac:dyDescent="0.2">
      <c r="J23" t="s">
        <v>358</v>
      </c>
      <c r="K23" s="147">
        <v>148.31120699999997</v>
      </c>
    </row>
    <row r="24" spans="1:11" x14ac:dyDescent="0.2">
      <c r="J24" t="s">
        <v>359</v>
      </c>
      <c r="K24" s="148">
        <v>98.874137999999988</v>
      </c>
    </row>
    <row r="25" spans="1:11" x14ac:dyDescent="0.2">
      <c r="J25" t="s">
        <v>423</v>
      </c>
      <c r="K25" s="149">
        <f>AVERAGE(K23:K24)</f>
        <v>123.59267249999998</v>
      </c>
    </row>
    <row r="29" spans="1:11" x14ac:dyDescent="0.2">
      <c r="B29" s="1" t="s">
        <v>116</v>
      </c>
    </row>
    <row r="30" spans="1:11" x14ac:dyDescent="0.2">
      <c r="B30" t="s">
        <v>316</v>
      </c>
      <c r="C30">
        <v>2</v>
      </c>
    </row>
    <row r="31" spans="1:11" x14ac:dyDescent="0.2">
      <c r="B31" t="s">
        <v>317</v>
      </c>
      <c r="C31">
        <v>2</v>
      </c>
    </row>
    <row r="32" spans="1:11" x14ac:dyDescent="0.2">
      <c r="B32" t="s">
        <v>315</v>
      </c>
      <c r="C32">
        <v>1</v>
      </c>
    </row>
    <row r="34" spans="2:3" x14ac:dyDescent="0.2">
      <c r="B34" s="3" t="s">
        <v>265</v>
      </c>
      <c r="C34" s="3">
        <v>2</v>
      </c>
    </row>
    <row r="35" spans="2:3" x14ac:dyDescent="0.2">
      <c r="B35" s="3" t="s">
        <v>49</v>
      </c>
      <c r="C35" s="3">
        <v>12</v>
      </c>
    </row>
    <row r="36" spans="2:3" x14ac:dyDescent="0.2">
      <c r="B36" s="3" t="s">
        <v>50</v>
      </c>
      <c r="C36" s="3">
        <v>12</v>
      </c>
    </row>
    <row r="37" spans="2:3" x14ac:dyDescent="0.2">
      <c r="B37" s="3" t="s">
        <v>51</v>
      </c>
      <c r="C37" s="3">
        <v>15</v>
      </c>
    </row>
    <row r="38" spans="2:3" x14ac:dyDescent="0.2">
      <c r="B38" s="3" t="s">
        <v>52</v>
      </c>
      <c r="C38" s="3">
        <v>1.5</v>
      </c>
    </row>
    <row r="39" spans="2:3" x14ac:dyDescent="0.2">
      <c r="B39" s="3" t="s">
        <v>272</v>
      </c>
      <c r="C39" s="3">
        <v>3</v>
      </c>
    </row>
    <row r="40" spans="2:3" x14ac:dyDescent="0.2">
      <c r="B40" s="3" t="s">
        <v>273</v>
      </c>
      <c r="C40" s="3">
        <v>20</v>
      </c>
    </row>
    <row r="41" spans="2:3" x14ac:dyDescent="0.2">
      <c r="B41" s="3" t="s">
        <v>291</v>
      </c>
      <c r="C41" s="3">
        <v>6</v>
      </c>
    </row>
    <row r="42" spans="2:3" x14ac:dyDescent="0.2">
      <c r="B42" s="3" t="s">
        <v>318</v>
      </c>
      <c r="C42" s="3">
        <v>1</v>
      </c>
    </row>
    <row r="43" spans="2:3" x14ac:dyDescent="0.2">
      <c r="B43" s="3" t="s">
        <v>319</v>
      </c>
      <c r="C43" s="3">
        <v>1</v>
      </c>
    </row>
  </sheetData>
  <sortState ref="A4:F19">
    <sortCondition ref="A4:A1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L60"/>
  <sheetViews>
    <sheetView workbookViewId="0">
      <selection sqref="A1:N60"/>
    </sheetView>
  </sheetViews>
  <sheetFormatPr baseColWidth="10" defaultColWidth="8.83203125" defaultRowHeight="15" x14ac:dyDescent="0.2"/>
  <cols>
    <col min="1" max="1" width="34" bestFit="1" customWidth="1"/>
    <col min="2" max="2" width="12.1640625" style="22" customWidth="1"/>
    <col min="3" max="3" width="12.5" style="17" bestFit="1" customWidth="1"/>
    <col min="4" max="4" width="9.5" customWidth="1"/>
    <col min="5" max="5" width="11.83203125" style="20" customWidth="1"/>
    <col min="6" max="6" width="10.5" customWidth="1"/>
    <col min="7" max="7" width="12.5" style="20" customWidth="1"/>
    <col min="8" max="8" width="11" customWidth="1"/>
    <col min="9" max="9" width="11" style="20" customWidth="1"/>
    <col min="10" max="10" width="14.5" customWidth="1"/>
    <col min="11" max="11" width="14.5" style="20" customWidth="1"/>
    <col min="12" max="12" width="16" customWidth="1"/>
    <col min="13" max="13" width="16" style="20" customWidth="1"/>
    <col min="14" max="14" width="17.83203125" customWidth="1"/>
    <col min="15" max="15" width="12.83203125" style="20" customWidth="1"/>
    <col min="16" max="16" width="12.83203125" customWidth="1"/>
    <col min="17" max="17" width="12.83203125" style="20" customWidth="1"/>
    <col min="18" max="18" width="13.5" customWidth="1"/>
    <col min="19" max="19" width="8.83203125" style="20"/>
    <col min="21" max="21" width="8.83203125" style="20"/>
    <col min="23" max="23" width="8.83203125" style="20"/>
    <col min="25" max="25" width="8.83203125" style="20"/>
    <col min="27" max="27" width="8.83203125" style="20"/>
    <col min="29" max="29" width="8.83203125" style="20"/>
    <col min="31" max="31" width="8.83203125" style="20"/>
    <col min="33" max="33" width="8.83203125" style="20"/>
    <col min="35" max="35" width="8.83203125" style="20"/>
    <col min="37" max="37" width="16" style="20" customWidth="1"/>
    <col min="38" max="38" width="17.83203125" customWidth="1"/>
  </cols>
  <sheetData>
    <row r="1" spans="1:38" ht="42.75" customHeight="1" x14ac:dyDescent="0.2">
      <c r="A1" s="15" t="s">
        <v>113</v>
      </c>
      <c r="C1" s="40"/>
      <c r="D1" s="15" t="s">
        <v>112</v>
      </c>
      <c r="E1" s="19"/>
      <c r="F1" s="15"/>
      <c r="G1" s="19"/>
      <c r="H1" s="15"/>
      <c r="I1" s="19"/>
      <c r="J1" s="15"/>
      <c r="K1" s="19"/>
      <c r="L1" s="15"/>
      <c r="M1" s="19"/>
      <c r="N1" s="15"/>
      <c r="O1" s="19"/>
      <c r="P1" s="15"/>
      <c r="Q1" s="19"/>
      <c r="R1" s="15"/>
      <c r="AK1" s="19"/>
      <c r="AL1" s="15"/>
    </row>
    <row r="2" spans="1:38" s="1" customFormat="1" ht="26.25" customHeight="1" x14ac:dyDescent="0.2">
      <c r="B2" s="22"/>
      <c r="C2" s="171" t="s">
        <v>47</v>
      </c>
      <c r="D2" s="171"/>
      <c r="E2" s="172" t="s">
        <v>48</v>
      </c>
      <c r="F2" s="172"/>
      <c r="G2" s="173" t="s">
        <v>55</v>
      </c>
      <c r="H2" s="173"/>
      <c r="I2" s="174" t="s">
        <v>56</v>
      </c>
      <c r="J2" s="174"/>
      <c r="K2" s="175" t="s">
        <v>57</v>
      </c>
      <c r="L2" s="175"/>
      <c r="M2" s="166" t="s">
        <v>58</v>
      </c>
      <c r="N2" s="166"/>
      <c r="O2" s="168" t="s">
        <v>59</v>
      </c>
      <c r="P2" s="168"/>
      <c r="Q2" s="169" t="s">
        <v>110</v>
      </c>
      <c r="R2" s="169"/>
      <c r="S2" s="59" t="s">
        <v>260</v>
      </c>
      <c r="T2" s="59"/>
      <c r="U2" s="167" t="s">
        <v>268</v>
      </c>
      <c r="V2" s="167"/>
      <c r="W2" s="62" t="s">
        <v>277</v>
      </c>
      <c r="X2" s="63"/>
      <c r="Y2" s="172" t="s">
        <v>287</v>
      </c>
      <c r="Z2" s="172"/>
      <c r="AA2" s="166" t="s">
        <v>289</v>
      </c>
      <c r="AB2" s="166"/>
      <c r="AC2" s="170" t="s">
        <v>295</v>
      </c>
      <c r="AD2" s="170"/>
      <c r="AE2" s="176" t="s">
        <v>278</v>
      </c>
      <c r="AF2" s="176"/>
      <c r="AG2" s="177" t="s">
        <v>314</v>
      </c>
      <c r="AH2" s="177"/>
      <c r="AI2" s="178" t="s">
        <v>279</v>
      </c>
      <c r="AJ2" s="178"/>
      <c r="AK2" s="166" t="s">
        <v>426</v>
      </c>
      <c r="AL2" s="166"/>
    </row>
    <row r="3" spans="1:38" s="3" customFormat="1" ht="60.75" customHeight="1" x14ac:dyDescent="0.2">
      <c r="A3" s="4" t="s">
        <v>79</v>
      </c>
      <c r="B3" s="23" t="s">
        <v>83</v>
      </c>
      <c r="C3" s="32" t="s">
        <v>72</v>
      </c>
      <c r="D3" s="33" t="s">
        <v>72</v>
      </c>
      <c r="E3" s="30" t="s">
        <v>73</v>
      </c>
      <c r="F3" s="31" t="s">
        <v>73</v>
      </c>
      <c r="G3" s="28" t="s">
        <v>74</v>
      </c>
      <c r="H3" s="29" t="s">
        <v>74</v>
      </c>
      <c r="I3" s="26" t="s">
        <v>75</v>
      </c>
      <c r="J3" s="27" t="s">
        <v>75</v>
      </c>
      <c r="K3" s="25" t="s">
        <v>76</v>
      </c>
      <c r="L3" s="25" t="s">
        <v>76</v>
      </c>
      <c r="M3" s="35" t="s">
        <v>77</v>
      </c>
      <c r="N3" s="34" t="s">
        <v>77</v>
      </c>
      <c r="O3" s="37" t="s">
        <v>78</v>
      </c>
      <c r="P3" s="36" t="s">
        <v>78</v>
      </c>
      <c r="Q3" s="38" t="s">
        <v>109</v>
      </c>
      <c r="R3" s="39" t="s">
        <v>109</v>
      </c>
      <c r="S3" s="57" t="s">
        <v>263</v>
      </c>
      <c r="T3" s="58" t="s">
        <v>263</v>
      </c>
      <c r="U3" s="60" t="s">
        <v>268</v>
      </c>
      <c r="V3" s="61" t="s">
        <v>268</v>
      </c>
      <c r="W3" s="64" t="s">
        <v>277</v>
      </c>
      <c r="X3" s="33" t="s">
        <v>277</v>
      </c>
      <c r="Y3" s="66" t="s">
        <v>287</v>
      </c>
      <c r="Z3" s="65" t="s">
        <v>287</v>
      </c>
      <c r="AA3" s="35" t="s">
        <v>289</v>
      </c>
      <c r="AB3" s="34" t="s">
        <v>289</v>
      </c>
      <c r="AC3" s="72" t="s">
        <v>295</v>
      </c>
      <c r="AD3" s="71" t="s">
        <v>295</v>
      </c>
      <c r="AE3" s="84" t="s">
        <v>278</v>
      </c>
      <c r="AF3" s="83" t="s">
        <v>278</v>
      </c>
      <c r="AG3" s="86" t="s">
        <v>314</v>
      </c>
      <c r="AH3" s="85" t="s">
        <v>314</v>
      </c>
      <c r="AI3" s="57" t="s">
        <v>279</v>
      </c>
      <c r="AJ3" s="58" t="s">
        <v>279</v>
      </c>
      <c r="AK3" s="35" t="s">
        <v>430</v>
      </c>
      <c r="AL3" s="35" t="s">
        <v>430</v>
      </c>
    </row>
    <row r="4" spans="1:38" x14ac:dyDescent="0.2">
      <c r="A4" t="s">
        <v>23</v>
      </c>
      <c r="B4" s="22">
        <v>3</v>
      </c>
      <c r="C4" s="17" t="s">
        <v>117</v>
      </c>
      <c r="D4">
        <f>IF(C4="x", $B4,0)</f>
        <v>3</v>
      </c>
      <c r="F4">
        <f>IF(E4="x", $B4,0)</f>
        <v>0</v>
      </c>
      <c r="G4" s="20" t="s">
        <v>117</v>
      </c>
      <c r="H4">
        <f>IF(G4="x", $B4,0)</f>
        <v>3</v>
      </c>
      <c r="J4">
        <f>IF(I4="x", $B4,0)</f>
        <v>0</v>
      </c>
      <c r="L4">
        <f>IF(K4="x", $B4,0)</f>
        <v>0</v>
      </c>
      <c r="M4" s="20" t="s">
        <v>117</v>
      </c>
      <c r="N4">
        <f>IF(M4="x", $B4,0)</f>
        <v>3</v>
      </c>
      <c r="O4" s="20" t="s">
        <v>117</v>
      </c>
      <c r="P4">
        <f t="shared" ref="P4:P35" si="0">IF(O4="x", $B4,0)</f>
        <v>3</v>
      </c>
      <c r="Q4" s="20" t="s">
        <v>117</v>
      </c>
      <c r="R4">
        <f t="shared" ref="R4:R35" si="1">IF(Q4="x", $B4,0)</f>
        <v>3</v>
      </c>
      <c r="S4" s="20" t="s">
        <v>117</v>
      </c>
      <c r="T4">
        <f>IF(S4="x", $B4,0)</f>
        <v>3</v>
      </c>
      <c r="U4" s="20" t="s">
        <v>117</v>
      </c>
      <c r="V4">
        <f>IF(U4="x", $B4,0)</f>
        <v>3</v>
      </c>
      <c r="X4">
        <f>IF(W4="x", $B4,0)</f>
        <v>0</v>
      </c>
      <c r="Z4">
        <f>IF(Y4="x", $B4,0)</f>
        <v>0</v>
      </c>
      <c r="AB4">
        <f>IF(AA4="x", $B4,0)</f>
        <v>0</v>
      </c>
      <c r="AD4">
        <f>IF(AC4="x", $B4,0)</f>
        <v>0</v>
      </c>
      <c r="AF4">
        <f>IF(AE4="x", $B4,0)</f>
        <v>0</v>
      </c>
      <c r="AG4" s="20" t="s">
        <v>117</v>
      </c>
      <c r="AH4">
        <f>IF(AG4="x", $B4,0)</f>
        <v>3</v>
      </c>
      <c r="AJ4">
        <f>IF(AI4="x", $B4,0)</f>
        <v>0</v>
      </c>
      <c r="AK4" s="20" t="s">
        <v>117</v>
      </c>
      <c r="AL4">
        <f>IF(AK4="x", $B4,0)</f>
        <v>3</v>
      </c>
    </row>
    <row r="5" spans="1:38" x14ac:dyDescent="0.2">
      <c r="A5" t="s">
        <v>24</v>
      </c>
      <c r="B5" s="22">
        <v>3</v>
      </c>
      <c r="C5" s="17" t="s">
        <v>117</v>
      </c>
      <c r="D5">
        <f t="shared" ref="D5:D35" si="2">IF(C5="x", $B5,0)</f>
        <v>3</v>
      </c>
      <c r="F5">
        <f t="shared" ref="F5:F35" si="3">IF(E5="x", $B5,0)</f>
        <v>0</v>
      </c>
      <c r="G5" s="20" t="s">
        <v>117</v>
      </c>
      <c r="H5">
        <f t="shared" ref="H5:H35" si="4">IF(G5="x", $B5,0)</f>
        <v>3</v>
      </c>
      <c r="J5">
        <f t="shared" ref="J5:J35" si="5">IF(I5="x", $B5,0)</f>
        <v>0</v>
      </c>
      <c r="L5">
        <f t="shared" ref="L5:L35" si="6">IF(K5="x", $B5,0)</f>
        <v>0</v>
      </c>
      <c r="M5" s="20" t="s">
        <v>117</v>
      </c>
      <c r="N5">
        <f t="shared" ref="N5:N35" si="7">IF(M5="x", $B5,0)</f>
        <v>3</v>
      </c>
      <c r="O5" s="20" t="s">
        <v>117</v>
      </c>
      <c r="P5">
        <f t="shared" si="0"/>
        <v>3</v>
      </c>
      <c r="Q5" s="20" t="s">
        <v>117</v>
      </c>
      <c r="R5">
        <f t="shared" si="1"/>
        <v>3</v>
      </c>
      <c r="S5" s="20" t="s">
        <v>117</v>
      </c>
      <c r="T5">
        <f t="shared" ref="T5:T35" si="8">IF(S5="x", $B5,0)</f>
        <v>3</v>
      </c>
      <c r="U5" s="20" t="s">
        <v>117</v>
      </c>
      <c r="V5">
        <f t="shared" ref="V5:V33" si="9">IF(U5="x", $B5,0)</f>
        <v>3</v>
      </c>
      <c r="X5">
        <f t="shared" ref="X5:X35" si="10">IF(W5="x", $B5,0)</f>
        <v>0</v>
      </c>
      <c r="Z5">
        <f t="shared" ref="Z5:Z35" si="11">IF(Y5="x", $B5,0)</f>
        <v>0</v>
      </c>
      <c r="AB5">
        <f t="shared" ref="AB5:AB35" si="12">IF(AA5="x", $B5,0)</f>
        <v>0</v>
      </c>
      <c r="AD5">
        <f t="shared" ref="AD5:AD35" si="13">IF(AC5="x", $B5,0)</f>
        <v>0</v>
      </c>
      <c r="AF5">
        <f t="shared" ref="AF5:AF35" si="14">IF(AE5="x", $B5,0)</f>
        <v>0</v>
      </c>
      <c r="AG5" s="20" t="s">
        <v>117</v>
      </c>
      <c r="AH5">
        <f t="shared" ref="AH5:AH35" si="15">IF(AG5="x", $B5,0)</f>
        <v>3</v>
      </c>
      <c r="AJ5">
        <f t="shared" ref="AJ5:AJ58" si="16">IF(AI5="x", $B5,0)</f>
        <v>0</v>
      </c>
      <c r="AK5" s="20" t="s">
        <v>117</v>
      </c>
      <c r="AL5">
        <f t="shared" ref="AL5:AL35" si="17">IF(AK5="x", $B5,0)</f>
        <v>3</v>
      </c>
    </row>
    <row r="6" spans="1:38" x14ac:dyDescent="0.2">
      <c r="A6" t="s">
        <v>27</v>
      </c>
      <c r="B6" s="22">
        <v>5</v>
      </c>
      <c r="D6">
        <f t="shared" si="2"/>
        <v>0</v>
      </c>
      <c r="F6">
        <f t="shared" si="3"/>
        <v>0</v>
      </c>
      <c r="H6">
        <f t="shared" si="4"/>
        <v>0</v>
      </c>
      <c r="J6">
        <f t="shared" si="5"/>
        <v>0</v>
      </c>
      <c r="K6" s="20" t="s">
        <v>117</v>
      </c>
      <c r="L6">
        <f t="shared" si="6"/>
        <v>5</v>
      </c>
      <c r="M6" s="20" t="s">
        <v>117</v>
      </c>
      <c r="N6">
        <f t="shared" si="7"/>
        <v>5</v>
      </c>
      <c r="P6">
        <f t="shared" si="0"/>
        <v>0</v>
      </c>
      <c r="R6">
        <f t="shared" si="1"/>
        <v>0</v>
      </c>
      <c r="T6">
        <f t="shared" si="8"/>
        <v>0</v>
      </c>
      <c r="V6">
        <f t="shared" si="9"/>
        <v>0</v>
      </c>
      <c r="X6">
        <f t="shared" si="10"/>
        <v>0</v>
      </c>
      <c r="Z6">
        <f t="shared" si="11"/>
        <v>0</v>
      </c>
      <c r="AA6" s="20" t="s">
        <v>117</v>
      </c>
      <c r="AB6">
        <f t="shared" si="12"/>
        <v>5</v>
      </c>
      <c r="AD6">
        <f t="shared" si="13"/>
        <v>0</v>
      </c>
      <c r="AF6">
        <f t="shared" si="14"/>
        <v>0</v>
      </c>
      <c r="AG6" s="20" t="s">
        <v>117</v>
      </c>
      <c r="AH6">
        <f t="shared" si="15"/>
        <v>5</v>
      </c>
      <c r="AJ6">
        <f t="shared" si="16"/>
        <v>0</v>
      </c>
      <c r="AK6" s="20" t="s">
        <v>117</v>
      </c>
      <c r="AL6">
        <f t="shared" si="17"/>
        <v>5</v>
      </c>
    </row>
    <row r="7" spans="1:38" x14ac:dyDescent="0.2">
      <c r="A7" t="s">
        <v>5</v>
      </c>
      <c r="B7" s="22">
        <v>2</v>
      </c>
      <c r="C7" s="17" t="s">
        <v>117</v>
      </c>
      <c r="D7">
        <f t="shared" si="2"/>
        <v>2</v>
      </c>
      <c r="F7">
        <f t="shared" si="3"/>
        <v>0</v>
      </c>
      <c r="H7">
        <f t="shared" si="4"/>
        <v>0</v>
      </c>
      <c r="J7">
        <f t="shared" si="5"/>
        <v>0</v>
      </c>
      <c r="L7">
        <f t="shared" si="6"/>
        <v>0</v>
      </c>
      <c r="N7">
        <f t="shared" si="7"/>
        <v>0</v>
      </c>
      <c r="P7">
        <f t="shared" si="0"/>
        <v>0</v>
      </c>
      <c r="R7">
        <f t="shared" si="1"/>
        <v>0</v>
      </c>
      <c r="S7" s="20" t="s">
        <v>117</v>
      </c>
      <c r="T7">
        <f t="shared" si="8"/>
        <v>2</v>
      </c>
      <c r="U7" s="20" t="s">
        <v>117</v>
      </c>
      <c r="V7">
        <f t="shared" si="9"/>
        <v>2</v>
      </c>
      <c r="W7" s="20" t="s">
        <v>117</v>
      </c>
      <c r="X7">
        <f t="shared" si="10"/>
        <v>2</v>
      </c>
      <c r="Z7">
        <f t="shared" si="11"/>
        <v>0</v>
      </c>
      <c r="AB7">
        <f t="shared" si="12"/>
        <v>0</v>
      </c>
      <c r="AD7">
        <f t="shared" si="13"/>
        <v>0</v>
      </c>
      <c r="AF7">
        <f t="shared" si="14"/>
        <v>0</v>
      </c>
      <c r="AG7" s="20" t="s">
        <v>117</v>
      </c>
      <c r="AH7">
        <f t="shared" si="15"/>
        <v>2</v>
      </c>
      <c r="AJ7">
        <f t="shared" si="16"/>
        <v>0</v>
      </c>
      <c r="AL7">
        <f t="shared" si="17"/>
        <v>0</v>
      </c>
    </row>
    <row r="8" spans="1:38" x14ac:dyDescent="0.2">
      <c r="A8" t="s">
        <v>4</v>
      </c>
      <c r="B8" s="22">
        <v>1</v>
      </c>
      <c r="C8" s="17" t="s">
        <v>117</v>
      </c>
      <c r="D8">
        <f t="shared" si="2"/>
        <v>1</v>
      </c>
      <c r="F8">
        <f t="shared" si="3"/>
        <v>0</v>
      </c>
      <c r="H8">
        <f t="shared" si="4"/>
        <v>0</v>
      </c>
      <c r="J8">
        <f t="shared" si="5"/>
        <v>0</v>
      </c>
      <c r="L8">
        <f t="shared" si="6"/>
        <v>0</v>
      </c>
      <c r="N8">
        <f t="shared" si="7"/>
        <v>0</v>
      </c>
      <c r="P8">
        <f t="shared" si="0"/>
        <v>0</v>
      </c>
      <c r="R8">
        <f t="shared" si="1"/>
        <v>0</v>
      </c>
      <c r="S8" s="20" t="s">
        <v>117</v>
      </c>
      <c r="T8">
        <f t="shared" si="8"/>
        <v>1</v>
      </c>
      <c r="U8" s="20" t="s">
        <v>117</v>
      </c>
      <c r="V8">
        <f t="shared" si="9"/>
        <v>1</v>
      </c>
      <c r="W8" s="20" t="s">
        <v>117</v>
      </c>
      <c r="X8">
        <f t="shared" si="10"/>
        <v>1</v>
      </c>
      <c r="Z8">
        <f t="shared" si="11"/>
        <v>0</v>
      </c>
      <c r="AB8">
        <f t="shared" si="12"/>
        <v>0</v>
      </c>
      <c r="AD8">
        <f t="shared" si="13"/>
        <v>0</v>
      </c>
      <c r="AF8">
        <f t="shared" si="14"/>
        <v>0</v>
      </c>
      <c r="AG8" s="20" t="s">
        <v>117</v>
      </c>
      <c r="AH8">
        <f t="shared" si="15"/>
        <v>1</v>
      </c>
      <c r="AJ8">
        <f t="shared" si="16"/>
        <v>0</v>
      </c>
      <c r="AL8">
        <f t="shared" si="17"/>
        <v>0</v>
      </c>
    </row>
    <row r="9" spans="1:38" x14ac:dyDescent="0.2">
      <c r="A9" t="s">
        <v>26</v>
      </c>
      <c r="B9" s="22">
        <v>1</v>
      </c>
      <c r="D9">
        <f t="shared" si="2"/>
        <v>0</v>
      </c>
      <c r="F9">
        <f t="shared" si="3"/>
        <v>0</v>
      </c>
      <c r="H9">
        <f t="shared" si="4"/>
        <v>0</v>
      </c>
      <c r="J9">
        <f t="shared" si="5"/>
        <v>0</v>
      </c>
      <c r="K9" s="20" t="s">
        <v>117</v>
      </c>
      <c r="L9">
        <f t="shared" si="6"/>
        <v>1</v>
      </c>
      <c r="M9" s="20" t="s">
        <v>117</v>
      </c>
      <c r="N9">
        <f t="shared" si="7"/>
        <v>1</v>
      </c>
      <c r="P9">
        <f t="shared" si="0"/>
        <v>0</v>
      </c>
      <c r="R9">
        <f t="shared" si="1"/>
        <v>0</v>
      </c>
      <c r="T9">
        <f t="shared" si="8"/>
        <v>0</v>
      </c>
      <c r="V9">
        <f t="shared" si="9"/>
        <v>0</v>
      </c>
      <c r="X9">
        <f t="shared" si="10"/>
        <v>0</v>
      </c>
      <c r="Z9">
        <f t="shared" si="11"/>
        <v>0</v>
      </c>
      <c r="AA9" s="20" t="s">
        <v>117</v>
      </c>
      <c r="AB9">
        <f t="shared" si="12"/>
        <v>1</v>
      </c>
      <c r="AD9">
        <f t="shared" si="13"/>
        <v>0</v>
      </c>
      <c r="AF9">
        <f t="shared" si="14"/>
        <v>0</v>
      </c>
      <c r="AH9">
        <f t="shared" si="15"/>
        <v>0</v>
      </c>
      <c r="AJ9">
        <f t="shared" si="16"/>
        <v>0</v>
      </c>
      <c r="AK9" s="20" t="s">
        <v>117</v>
      </c>
      <c r="AL9">
        <f t="shared" si="17"/>
        <v>1</v>
      </c>
    </row>
    <row r="10" spans="1:38" x14ac:dyDescent="0.2">
      <c r="A10" t="s">
        <v>21</v>
      </c>
      <c r="B10" s="22">
        <v>2</v>
      </c>
      <c r="C10" s="17" t="s">
        <v>117</v>
      </c>
      <c r="D10">
        <f t="shared" si="2"/>
        <v>2</v>
      </c>
      <c r="F10">
        <f t="shared" si="3"/>
        <v>0</v>
      </c>
      <c r="G10" s="20" t="s">
        <v>117</v>
      </c>
      <c r="H10">
        <f t="shared" si="4"/>
        <v>2</v>
      </c>
      <c r="J10">
        <f t="shared" si="5"/>
        <v>0</v>
      </c>
      <c r="L10">
        <f t="shared" si="6"/>
        <v>0</v>
      </c>
      <c r="M10" s="20" t="s">
        <v>117</v>
      </c>
      <c r="N10">
        <f t="shared" si="7"/>
        <v>2</v>
      </c>
      <c r="O10" s="20" t="s">
        <v>117</v>
      </c>
      <c r="P10">
        <f t="shared" si="0"/>
        <v>2</v>
      </c>
      <c r="Q10" s="20" t="s">
        <v>117</v>
      </c>
      <c r="R10">
        <f t="shared" si="1"/>
        <v>2</v>
      </c>
      <c r="S10" s="20" t="s">
        <v>117</v>
      </c>
      <c r="T10">
        <f t="shared" si="8"/>
        <v>2</v>
      </c>
      <c r="U10" s="20" t="s">
        <v>117</v>
      </c>
      <c r="V10">
        <f t="shared" si="9"/>
        <v>2</v>
      </c>
      <c r="W10" s="20" t="s">
        <v>117</v>
      </c>
      <c r="X10">
        <f t="shared" si="10"/>
        <v>2</v>
      </c>
      <c r="Z10">
        <f t="shared" si="11"/>
        <v>0</v>
      </c>
      <c r="AA10" s="20" t="s">
        <v>117</v>
      </c>
      <c r="AB10">
        <f t="shared" si="12"/>
        <v>2</v>
      </c>
      <c r="AD10">
        <f t="shared" si="13"/>
        <v>0</v>
      </c>
      <c r="AF10">
        <f t="shared" si="14"/>
        <v>0</v>
      </c>
      <c r="AG10" s="20" t="s">
        <v>117</v>
      </c>
      <c r="AH10">
        <f t="shared" si="15"/>
        <v>2</v>
      </c>
      <c r="AJ10">
        <f t="shared" si="16"/>
        <v>0</v>
      </c>
      <c r="AK10" s="20" t="s">
        <v>117</v>
      </c>
      <c r="AL10">
        <f t="shared" si="17"/>
        <v>2</v>
      </c>
    </row>
    <row r="11" spans="1:38" x14ac:dyDescent="0.2">
      <c r="A11" t="s">
        <v>22</v>
      </c>
      <c r="B11" s="22">
        <v>1</v>
      </c>
      <c r="C11" s="17" t="s">
        <v>117</v>
      </c>
      <c r="D11">
        <f t="shared" si="2"/>
        <v>1</v>
      </c>
      <c r="F11">
        <f t="shared" si="3"/>
        <v>0</v>
      </c>
      <c r="G11" s="20" t="s">
        <v>117</v>
      </c>
      <c r="H11">
        <f t="shared" si="4"/>
        <v>1</v>
      </c>
      <c r="J11">
        <f t="shared" si="5"/>
        <v>0</v>
      </c>
      <c r="L11">
        <f t="shared" si="6"/>
        <v>0</v>
      </c>
      <c r="M11" s="20" t="s">
        <v>117</v>
      </c>
      <c r="N11">
        <f t="shared" si="7"/>
        <v>1</v>
      </c>
      <c r="O11" s="20" t="s">
        <v>117</v>
      </c>
      <c r="P11">
        <f t="shared" si="0"/>
        <v>1</v>
      </c>
      <c r="Q11" s="20" t="s">
        <v>117</v>
      </c>
      <c r="R11">
        <f t="shared" si="1"/>
        <v>1</v>
      </c>
      <c r="S11" s="20" t="s">
        <v>117</v>
      </c>
      <c r="T11">
        <f t="shared" si="8"/>
        <v>1</v>
      </c>
      <c r="U11" s="20" t="s">
        <v>117</v>
      </c>
      <c r="V11">
        <f t="shared" si="9"/>
        <v>1</v>
      </c>
      <c r="W11" s="20" t="s">
        <v>117</v>
      </c>
      <c r="X11">
        <f t="shared" si="10"/>
        <v>1</v>
      </c>
      <c r="Z11">
        <f t="shared" si="11"/>
        <v>0</v>
      </c>
      <c r="AA11" s="20" t="s">
        <v>117</v>
      </c>
      <c r="AB11">
        <f t="shared" si="12"/>
        <v>1</v>
      </c>
      <c r="AD11">
        <f t="shared" si="13"/>
        <v>0</v>
      </c>
      <c r="AF11">
        <f t="shared" si="14"/>
        <v>0</v>
      </c>
      <c r="AG11" s="20" t="s">
        <v>117</v>
      </c>
      <c r="AH11">
        <f t="shared" si="15"/>
        <v>1</v>
      </c>
      <c r="AJ11">
        <f t="shared" si="16"/>
        <v>0</v>
      </c>
      <c r="AK11" s="20" t="s">
        <v>117</v>
      </c>
      <c r="AL11">
        <f t="shared" si="17"/>
        <v>1</v>
      </c>
    </row>
    <row r="12" spans="1:38" x14ac:dyDescent="0.2">
      <c r="A12" t="s">
        <v>29</v>
      </c>
      <c r="B12" s="22">
        <v>2</v>
      </c>
      <c r="D12">
        <f t="shared" si="2"/>
        <v>0</v>
      </c>
      <c r="F12">
        <f t="shared" si="3"/>
        <v>0</v>
      </c>
      <c r="H12">
        <f t="shared" si="4"/>
        <v>0</v>
      </c>
      <c r="J12">
        <f t="shared" si="5"/>
        <v>0</v>
      </c>
      <c r="L12">
        <f t="shared" si="6"/>
        <v>0</v>
      </c>
      <c r="N12">
        <f t="shared" si="7"/>
        <v>0</v>
      </c>
      <c r="P12">
        <f t="shared" si="0"/>
        <v>0</v>
      </c>
      <c r="R12">
        <f t="shared" si="1"/>
        <v>0</v>
      </c>
      <c r="T12">
        <f t="shared" si="8"/>
        <v>0</v>
      </c>
      <c r="V12">
        <f t="shared" si="9"/>
        <v>0</v>
      </c>
      <c r="X12">
        <f t="shared" si="10"/>
        <v>0</v>
      </c>
      <c r="Z12">
        <f t="shared" si="11"/>
        <v>0</v>
      </c>
      <c r="AB12">
        <f t="shared" si="12"/>
        <v>0</v>
      </c>
      <c r="AD12">
        <f t="shared" si="13"/>
        <v>0</v>
      </c>
      <c r="AF12">
        <f t="shared" si="14"/>
        <v>0</v>
      </c>
      <c r="AG12" s="20" t="s">
        <v>117</v>
      </c>
      <c r="AH12">
        <f t="shared" si="15"/>
        <v>2</v>
      </c>
      <c r="AJ12">
        <f t="shared" si="16"/>
        <v>0</v>
      </c>
      <c r="AK12" s="20" t="s">
        <v>117</v>
      </c>
      <c r="AL12">
        <f t="shared" si="17"/>
        <v>2</v>
      </c>
    </row>
    <row r="13" spans="1:38" x14ac:dyDescent="0.2">
      <c r="A13" t="s">
        <v>18</v>
      </c>
      <c r="B13" s="22">
        <v>1</v>
      </c>
      <c r="C13" s="17" t="s">
        <v>117</v>
      </c>
      <c r="D13">
        <f t="shared" si="2"/>
        <v>1</v>
      </c>
      <c r="E13" s="20" t="s">
        <v>117</v>
      </c>
      <c r="F13">
        <f t="shared" si="3"/>
        <v>1</v>
      </c>
      <c r="G13" s="20" t="s">
        <v>117</v>
      </c>
      <c r="H13">
        <f t="shared" si="4"/>
        <v>1</v>
      </c>
      <c r="I13" s="20" t="s">
        <v>117</v>
      </c>
      <c r="J13">
        <f t="shared" si="5"/>
        <v>1</v>
      </c>
      <c r="K13" s="20" t="s">
        <v>117</v>
      </c>
      <c r="L13">
        <f t="shared" si="6"/>
        <v>1</v>
      </c>
      <c r="M13" s="20" t="s">
        <v>117</v>
      </c>
      <c r="N13">
        <f t="shared" si="7"/>
        <v>1</v>
      </c>
      <c r="O13" s="20" t="s">
        <v>117</v>
      </c>
      <c r="P13">
        <f t="shared" si="0"/>
        <v>1</v>
      </c>
      <c r="Q13" s="20" t="s">
        <v>117</v>
      </c>
      <c r="R13">
        <f t="shared" si="1"/>
        <v>1</v>
      </c>
      <c r="S13" s="20" t="s">
        <v>117</v>
      </c>
      <c r="T13">
        <f t="shared" si="8"/>
        <v>1</v>
      </c>
      <c r="U13" s="20" t="s">
        <v>117</v>
      </c>
      <c r="V13">
        <f t="shared" si="9"/>
        <v>1</v>
      </c>
      <c r="W13" s="20" t="s">
        <v>117</v>
      </c>
      <c r="X13">
        <f t="shared" si="10"/>
        <v>1</v>
      </c>
      <c r="Y13" s="20" t="s">
        <v>117</v>
      </c>
      <c r="Z13">
        <f t="shared" si="11"/>
        <v>1</v>
      </c>
      <c r="AA13" s="20" t="s">
        <v>117</v>
      </c>
      <c r="AB13">
        <f t="shared" si="12"/>
        <v>1</v>
      </c>
      <c r="AD13">
        <f t="shared" si="13"/>
        <v>0</v>
      </c>
      <c r="AF13">
        <f t="shared" si="14"/>
        <v>0</v>
      </c>
      <c r="AG13" s="20" t="s">
        <v>117</v>
      </c>
      <c r="AH13">
        <f t="shared" si="15"/>
        <v>1</v>
      </c>
      <c r="AJ13">
        <f t="shared" si="16"/>
        <v>0</v>
      </c>
      <c r="AK13" s="20" t="s">
        <v>117</v>
      </c>
      <c r="AL13">
        <f t="shared" si="17"/>
        <v>1</v>
      </c>
    </row>
    <row r="14" spans="1:38" x14ac:dyDescent="0.2">
      <c r="A14" t="s">
        <v>25</v>
      </c>
      <c r="B14" s="22">
        <v>1</v>
      </c>
      <c r="D14">
        <f t="shared" si="2"/>
        <v>0</v>
      </c>
      <c r="E14" s="20" t="s">
        <v>117</v>
      </c>
      <c r="F14">
        <f t="shared" si="3"/>
        <v>1</v>
      </c>
      <c r="G14" s="20" t="s">
        <v>117</v>
      </c>
      <c r="H14">
        <f t="shared" si="4"/>
        <v>1</v>
      </c>
      <c r="J14">
        <f t="shared" si="5"/>
        <v>0</v>
      </c>
      <c r="L14">
        <f t="shared" si="6"/>
        <v>0</v>
      </c>
      <c r="N14">
        <f t="shared" si="7"/>
        <v>0</v>
      </c>
      <c r="P14">
        <f t="shared" si="0"/>
        <v>0</v>
      </c>
      <c r="R14">
        <f t="shared" si="1"/>
        <v>0</v>
      </c>
      <c r="T14">
        <f t="shared" si="8"/>
        <v>0</v>
      </c>
      <c r="V14">
        <f t="shared" si="9"/>
        <v>0</v>
      </c>
      <c r="X14">
        <f t="shared" si="10"/>
        <v>0</v>
      </c>
      <c r="Y14" s="20" t="s">
        <v>117</v>
      </c>
      <c r="Z14">
        <f t="shared" si="11"/>
        <v>1</v>
      </c>
      <c r="AB14">
        <f t="shared" si="12"/>
        <v>0</v>
      </c>
      <c r="AD14">
        <f t="shared" si="13"/>
        <v>0</v>
      </c>
      <c r="AF14">
        <f t="shared" si="14"/>
        <v>0</v>
      </c>
      <c r="AH14">
        <f t="shared" si="15"/>
        <v>0</v>
      </c>
      <c r="AJ14">
        <f t="shared" si="16"/>
        <v>0</v>
      </c>
      <c r="AL14">
        <f t="shared" si="17"/>
        <v>0</v>
      </c>
    </row>
    <row r="15" spans="1:38" x14ac:dyDescent="0.2">
      <c r="A15" t="s">
        <v>12</v>
      </c>
      <c r="B15" s="22">
        <v>1</v>
      </c>
      <c r="C15" s="17" t="s">
        <v>117</v>
      </c>
      <c r="D15">
        <f t="shared" si="2"/>
        <v>1</v>
      </c>
      <c r="F15">
        <f t="shared" si="3"/>
        <v>0</v>
      </c>
      <c r="H15">
        <f t="shared" si="4"/>
        <v>0</v>
      </c>
      <c r="I15" s="20" t="s">
        <v>117</v>
      </c>
      <c r="J15">
        <f t="shared" si="5"/>
        <v>1</v>
      </c>
      <c r="L15">
        <f t="shared" si="6"/>
        <v>0</v>
      </c>
      <c r="N15">
        <f t="shared" si="7"/>
        <v>0</v>
      </c>
      <c r="O15" s="20" t="s">
        <v>117</v>
      </c>
      <c r="P15">
        <f t="shared" si="0"/>
        <v>1</v>
      </c>
      <c r="Q15" s="20" t="s">
        <v>117</v>
      </c>
      <c r="R15">
        <f t="shared" si="1"/>
        <v>1</v>
      </c>
      <c r="S15" s="20" t="s">
        <v>117</v>
      </c>
      <c r="T15">
        <f t="shared" si="8"/>
        <v>1</v>
      </c>
      <c r="V15">
        <f t="shared" si="9"/>
        <v>0</v>
      </c>
      <c r="W15" s="20" t="s">
        <v>117</v>
      </c>
      <c r="X15">
        <f t="shared" si="10"/>
        <v>1</v>
      </c>
      <c r="Z15">
        <f t="shared" si="11"/>
        <v>0</v>
      </c>
      <c r="AB15">
        <f t="shared" si="12"/>
        <v>0</v>
      </c>
      <c r="AD15">
        <f t="shared" si="13"/>
        <v>0</v>
      </c>
      <c r="AF15">
        <f t="shared" si="14"/>
        <v>0</v>
      </c>
      <c r="AG15" s="20" t="s">
        <v>117</v>
      </c>
      <c r="AH15">
        <f t="shared" si="15"/>
        <v>1</v>
      </c>
      <c r="AJ15">
        <f t="shared" si="16"/>
        <v>0</v>
      </c>
      <c r="AL15">
        <f t="shared" si="17"/>
        <v>0</v>
      </c>
    </row>
    <row r="16" spans="1:38" x14ac:dyDescent="0.2">
      <c r="A16" t="s">
        <v>14</v>
      </c>
      <c r="B16" s="22">
        <v>1</v>
      </c>
      <c r="C16" s="17" t="s">
        <v>117</v>
      </c>
      <c r="D16">
        <f t="shared" si="2"/>
        <v>1</v>
      </c>
      <c r="F16">
        <f t="shared" si="3"/>
        <v>0</v>
      </c>
      <c r="H16">
        <f t="shared" si="4"/>
        <v>0</v>
      </c>
      <c r="I16" s="20" t="s">
        <v>117</v>
      </c>
      <c r="J16">
        <f t="shared" si="5"/>
        <v>1</v>
      </c>
      <c r="L16">
        <f t="shared" si="6"/>
        <v>0</v>
      </c>
      <c r="N16">
        <f t="shared" si="7"/>
        <v>0</v>
      </c>
      <c r="P16">
        <f t="shared" si="0"/>
        <v>0</v>
      </c>
      <c r="Q16" s="20" t="s">
        <v>117</v>
      </c>
      <c r="R16">
        <f t="shared" si="1"/>
        <v>1</v>
      </c>
      <c r="S16" s="20" t="s">
        <v>117</v>
      </c>
      <c r="T16">
        <f t="shared" si="8"/>
        <v>1</v>
      </c>
      <c r="V16">
        <f t="shared" si="9"/>
        <v>0</v>
      </c>
      <c r="W16" s="20" t="s">
        <v>117</v>
      </c>
      <c r="X16">
        <f t="shared" si="10"/>
        <v>1</v>
      </c>
      <c r="Z16">
        <f t="shared" si="11"/>
        <v>0</v>
      </c>
      <c r="AB16">
        <f t="shared" si="12"/>
        <v>0</v>
      </c>
      <c r="AD16">
        <f t="shared" si="13"/>
        <v>0</v>
      </c>
      <c r="AF16">
        <f t="shared" si="14"/>
        <v>0</v>
      </c>
      <c r="AG16" s="20" t="s">
        <v>117</v>
      </c>
      <c r="AH16">
        <f t="shared" si="15"/>
        <v>1</v>
      </c>
      <c r="AJ16">
        <f t="shared" si="16"/>
        <v>0</v>
      </c>
      <c r="AL16">
        <f t="shared" si="17"/>
        <v>0</v>
      </c>
    </row>
    <row r="17" spans="1:38" x14ac:dyDescent="0.2">
      <c r="A17" t="s">
        <v>19</v>
      </c>
      <c r="B17" s="22">
        <v>24</v>
      </c>
      <c r="C17" s="17" t="s">
        <v>117</v>
      </c>
      <c r="D17">
        <f t="shared" si="2"/>
        <v>24</v>
      </c>
      <c r="F17">
        <f t="shared" si="3"/>
        <v>0</v>
      </c>
      <c r="H17">
        <f t="shared" si="4"/>
        <v>0</v>
      </c>
      <c r="I17" s="20" t="s">
        <v>117</v>
      </c>
      <c r="J17">
        <f t="shared" si="5"/>
        <v>24</v>
      </c>
      <c r="L17">
        <f t="shared" si="6"/>
        <v>0</v>
      </c>
      <c r="N17">
        <f t="shared" si="7"/>
        <v>0</v>
      </c>
      <c r="P17">
        <f t="shared" si="0"/>
        <v>0</v>
      </c>
      <c r="Q17" s="20" t="s">
        <v>117</v>
      </c>
      <c r="R17">
        <f t="shared" si="1"/>
        <v>24</v>
      </c>
      <c r="S17" s="20" t="s">
        <v>117</v>
      </c>
      <c r="T17">
        <f t="shared" si="8"/>
        <v>24</v>
      </c>
      <c r="V17">
        <f t="shared" si="9"/>
        <v>0</v>
      </c>
      <c r="W17" s="20" t="s">
        <v>117</v>
      </c>
      <c r="X17">
        <f t="shared" si="10"/>
        <v>24</v>
      </c>
      <c r="Z17">
        <f t="shared" si="11"/>
        <v>0</v>
      </c>
      <c r="AB17">
        <f t="shared" si="12"/>
        <v>0</v>
      </c>
      <c r="AD17">
        <f t="shared" si="13"/>
        <v>0</v>
      </c>
      <c r="AF17">
        <f t="shared" si="14"/>
        <v>0</v>
      </c>
      <c r="AH17">
        <f t="shared" si="15"/>
        <v>0</v>
      </c>
      <c r="AJ17">
        <f t="shared" si="16"/>
        <v>0</v>
      </c>
      <c r="AL17">
        <f t="shared" si="17"/>
        <v>0</v>
      </c>
    </row>
    <row r="18" spans="1:38" x14ac:dyDescent="0.2">
      <c r="A18" t="s">
        <v>53</v>
      </c>
      <c r="B18" s="22">
        <v>48</v>
      </c>
      <c r="C18" s="17" t="s">
        <v>117</v>
      </c>
      <c r="D18">
        <f t="shared" si="2"/>
        <v>48</v>
      </c>
      <c r="F18">
        <f t="shared" si="3"/>
        <v>0</v>
      </c>
      <c r="H18">
        <f t="shared" si="4"/>
        <v>0</v>
      </c>
      <c r="J18">
        <f t="shared" si="5"/>
        <v>0</v>
      </c>
      <c r="L18">
        <f t="shared" si="6"/>
        <v>0</v>
      </c>
      <c r="N18">
        <f t="shared" si="7"/>
        <v>0</v>
      </c>
      <c r="P18">
        <f t="shared" si="0"/>
        <v>0</v>
      </c>
      <c r="R18">
        <f t="shared" si="1"/>
        <v>0</v>
      </c>
      <c r="S18" s="20" t="s">
        <v>117</v>
      </c>
      <c r="T18">
        <f t="shared" si="8"/>
        <v>48</v>
      </c>
      <c r="V18">
        <f t="shared" si="9"/>
        <v>0</v>
      </c>
      <c r="W18" s="20" t="s">
        <v>117</v>
      </c>
      <c r="X18">
        <f t="shared" si="10"/>
        <v>48</v>
      </c>
      <c r="Z18">
        <f t="shared" si="11"/>
        <v>0</v>
      </c>
      <c r="AB18">
        <f t="shared" si="12"/>
        <v>0</v>
      </c>
      <c r="AD18">
        <f t="shared" si="13"/>
        <v>0</v>
      </c>
      <c r="AF18">
        <f t="shared" si="14"/>
        <v>0</v>
      </c>
      <c r="AH18">
        <f t="shared" si="15"/>
        <v>0</v>
      </c>
      <c r="AJ18">
        <f t="shared" si="16"/>
        <v>0</v>
      </c>
      <c r="AL18">
        <f t="shared" si="17"/>
        <v>0</v>
      </c>
    </row>
    <row r="19" spans="1:38" x14ac:dyDescent="0.2">
      <c r="A19" t="s">
        <v>17</v>
      </c>
      <c r="B19" s="22">
        <v>12</v>
      </c>
      <c r="C19" s="17" t="s">
        <v>117</v>
      </c>
      <c r="D19">
        <f t="shared" si="2"/>
        <v>12</v>
      </c>
      <c r="F19">
        <f t="shared" si="3"/>
        <v>0</v>
      </c>
      <c r="G19" s="20" t="s">
        <v>117</v>
      </c>
      <c r="H19">
        <f t="shared" si="4"/>
        <v>12</v>
      </c>
      <c r="J19">
        <f t="shared" si="5"/>
        <v>0</v>
      </c>
      <c r="L19">
        <f t="shared" si="6"/>
        <v>0</v>
      </c>
      <c r="M19" s="20" t="s">
        <v>117</v>
      </c>
      <c r="N19">
        <f t="shared" si="7"/>
        <v>12</v>
      </c>
      <c r="P19">
        <f t="shared" si="0"/>
        <v>0</v>
      </c>
      <c r="Q19" s="20" t="s">
        <v>117</v>
      </c>
      <c r="R19">
        <f t="shared" si="1"/>
        <v>12</v>
      </c>
      <c r="S19" s="20" t="s">
        <v>117</v>
      </c>
      <c r="T19">
        <f t="shared" si="8"/>
        <v>12</v>
      </c>
      <c r="U19" s="20" t="s">
        <v>117</v>
      </c>
      <c r="V19">
        <f t="shared" si="9"/>
        <v>12</v>
      </c>
      <c r="W19" s="20" t="s">
        <v>117</v>
      </c>
      <c r="X19">
        <f t="shared" si="10"/>
        <v>12</v>
      </c>
      <c r="Z19">
        <f t="shared" si="11"/>
        <v>0</v>
      </c>
      <c r="AA19" s="20" t="s">
        <v>117</v>
      </c>
      <c r="AB19">
        <f t="shared" si="12"/>
        <v>12</v>
      </c>
      <c r="AD19">
        <f t="shared" si="13"/>
        <v>0</v>
      </c>
      <c r="AF19">
        <f t="shared" si="14"/>
        <v>0</v>
      </c>
      <c r="AG19" s="20" t="s">
        <v>117</v>
      </c>
      <c r="AH19">
        <f t="shared" si="15"/>
        <v>12</v>
      </c>
      <c r="AJ19">
        <f t="shared" si="16"/>
        <v>0</v>
      </c>
      <c r="AK19" s="20" t="s">
        <v>117</v>
      </c>
      <c r="AL19">
        <f t="shared" si="17"/>
        <v>12</v>
      </c>
    </row>
    <row r="20" spans="1:38" x14ac:dyDescent="0.2">
      <c r="A20" t="s">
        <v>16</v>
      </c>
      <c r="B20" s="22">
        <v>1</v>
      </c>
      <c r="C20" s="17" t="s">
        <v>117</v>
      </c>
      <c r="D20">
        <f t="shared" si="2"/>
        <v>1</v>
      </c>
      <c r="F20">
        <f t="shared" si="3"/>
        <v>0</v>
      </c>
      <c r="G20" s="20" t="s">
        <v>117</v>
      </c>
      <c r="H20">
        <f t="shared" si="4"/>
        <v>1</v>
      </c>
      <c r="J20">
        <f t="shared" si="5"/>
        <v>0</v>
      </c>
      <c r="L20">
        <f t="shared" si="6"/>
        <v>0</v>
      </c>
      <c r="M20" s="20" t="s">
        <v>117</v>
      </c>
      <c r="N20">
        <f t="shared" si="7"/>
        <v>1</v>
      </c>
      <c r="P20">
        <f t="shared" si="0"/>
        <v>0</v>
      </c>
      <c r="Q20" s="20" t="s">
        <v>117</v>
      </c>
      <c r="R20">
        <f t="shared" si="1"/>
        <v>1</v>
      </c>
      <c r="S20" s="20" t="s">
        <v>117</v>
      </c>
      <c r="T20">
        <f t="shared" si="8"/>
        <v>1</v>
      </c>
      <c r="U20" s="20" t="s">
        <v>117</v>
      </c>
      <c r="V20">
        <f t="shared" si="9"/>
        <v>1</v>
      </c>
      <c r="W20" s="20" t="s">
        <v>117</v>
      </c>
      <c r="X20">
        <f t="shared" si="10"/>
        <v>1</v>
      </c>
      <c r="Z20">
        <f t="shared" si="11"/>
        <v>0</v>
      </c>
      <c r="AA20" s="20" t="s">
        <v>117</v>
      </c>
      <c r="AB20">
        <f t="shared" si="12"/>
        <v>1</v>
      </c>
      <c r="AD20">
        <f t="shared" si="13"/>
        <v>0</v>
      </c>
      <c r="AF20">
        <f t="shared" si="14"/>
        <v>0</v>
      </c>
      <c r="AG20" s="20" t="s">
        <v>117</v>
      </c>
      <c r="AH20">
        <f t="shared" si="15"/>
        <v>1</v>
      </c>
      <c r="AJ20">
        <f t="shared" si="16"/>
        <v>0</v>
      </c>
      <c r="AK20" s="20" t="s">
        <v>117</v>
      </c>
      <c r="AL20">
        <f t="shared" si="17"/>
        <v>1</v>
      </c>
    </row>
    <row r="21" spans="1:38" x14ac:dyDescent="0.2">
      <c r="A21" t="s">
        <v>28</v>
      </c>
      <c r="B21" s="22">
        <v>5</v>
      </c>
      <c r="D21">
        <f t="shared" si="2"/>
        <v>0</v>
      </c>
      <c r="F21">
        <f t="shared" si="3"/>
        <v>0</v>
      </c>
      <c r="H21">
        <f t="shared" si="4"/>
        <v>0</v>
      </c>
      <c r="J21">
        <f t="shared" si="5"/>
        <v>0</v>
      </c>
      <c r="K21" s="20" t="s">
        <v>117</v>
      </c>
      <c r="L21">
        <f t="shared" si="6"/>
        <v>5</v>
      </c>
      <c r="M21" s="20" t="s">
        <v>117</v>
      </c>
      <c r="N21">
        <f t="shared" si="7"/>
        <v>5</v>
      </c>
      <c r="P21">
        <f t="shared" si="0"/>
        <v>0</v>
      </c>
      <c r="R21">
        <f t="shared" si="1"/>
        <v>0</v>
      </c>
      <c r="T21">
        <f t="shared" si="8"/>
        <v>0</v>
      </c>
      <c r="V21">
        <f t="shared" si="9"/>
        <v>0</v>
      </c>
      <c r="X21">
        <f t="shared" si="10"/>
        <v>0</v>
      </c>
      <c r="Z21">
        <f t="shared" si="11"/>
        <v>0</v>
      </c>
      <c r="AA21" s="20" t="s">
        <v>117</v>
      </c>
      <c r="AB21">
        <f t="shared" si="12"/>
        <v>5</v>
      </c>
      <c r="AD21">
        <f t="shared" si="13"/>
        <v>0</v>
      </c>
      <c r="AF21">
        <f t="shared" si="14"/>
        <v>0</v>
      </c>
      <c r="AH21">
        <f t="shared" si="15"/>
        <v>0</v>
      </c>
      <c r="AJ21">
        <f t="shared" si="16"/>
        <v>0</v>
      </c>
      <c r="AK21" s="20" t="s">
        <v>117</v>
      </c>
      <c r="AL21">
        <f t="shared" si="17"/>
        <v>5</v>
      </c>
    </row>
    <row r="22" spans="1:38" x14ac:dyDescent="0.2">
      <c r="A22" t="s">
        <v>3</v>
      </c>
      <c r="B22" s="22">
        <v>2</v>
      </c>
      <c r="C22" s="17" t="s">
        <v>117</v>
      </c>
      <c r="D22">
        <f t="shared" si="2"/>
        <v>2</v>
      </c>
      <c r="F22">
        <f t="shared" si="3"/>
        <v>0</v>
      </c>
      <c r="H22">
        <f t="shared" si="4"/>
        <v>0</v>
      </c>
      <c r="J22">
        <f t="shared" si="5"/>
        <v>0</v>
      </c>
      <c r="L22">
        <f t="shared" si="6"/>
        <v>0</v>
      </c>
      <c r="N22">
        <f t="shared" si="7"/>
        <v>0</v>
      </c>
      <c r="P22">
        <f t="shared" si="0"/>
        <v>0</v>
      </c>
      <c r="Q22" s="20" t="s">
        <v>117</v>
      </c>
      <c r="R22">
        <f t="shared" si="1"/>
        <v>2</v>
      </c>
      <c r="S22" s="20" t="s">
        <v>117</v>
      </c>
      <c r="T22">
        <f t="shared" si="8"/>
        <v>2</v>
      </c>
      <c r="V22">
        <f t="shared" si="9"/>
        <v>0</v>
      </c>
      <c r="W22" s="20" t="s">
        <v>117</v>
      </c>
      <c r="X22">
        <f t="shared" si="10"/>
        <v>2</v>
      </c>
      <c r="Z22">
        <f t="shared" si="11"/>
        <v>0</v>
      </c>
      <c r="AB22">
        <f t="shared" si="12"/>
        <v>0</v>
      </c>
      <c r="AD22">
        <f t="shared" si="13"/>
        <v>0</v>
      </c>
      <c r="AF22">
        <f t="shared" si="14"/>
        <v>0</v>
      </c>
      <c r="AH22">
        <f t="shared" si="15"/>
        <v>0</v>
      </c>
      <c r="AJ22">
        <f t="shared" si="16"/>
        <v>0</v>
      </c>
      <c r="AL22">
        <f t="shared" si="17"/>
        <v>0</v>
      </c>
    </row>
    <row r="23" spans="1:38" x14ac:dyDescent="0.2">
      <c r="A23" t="s">
        <v>20</v>
      </c>
      <c r="B23" s="22">
        <v>2</v>
      </c>
      <c r="C23" s="17" t="s">
        <v>117</v>
      </c>
      <c r="D23">
        <f t="shared" si="2"/>
        <v>2</v>
      </c>
      <c r="F23">
        <f t="shared" si="3"/>
        <v>0</v>
      </c>
      <c r="H23">
        <f t="shared" si="4"/>
        <v>0</v>
      </c>
      <c r="I23" s="20" t="s">
        <v>117</v>
      </c>
      <c r="J23">
        <f t="shared" si="5"/>
        <v>2</v>
      </c>
      <c r="L23">
        <f t="shared" si="6"/>
        <v>0</v>
      </c>
      <c r="N23">
        <f t="shared" si="7"/>
        <v>0</v>
      </c>
      <c r="P23">
        <f t="shared" si="0"/>
        <v>0</v>
      </c>
      <c r="Q23" s="20" t="s">
        <v>117</v>
      </c>
      <c r="R23">
        <f t="shared" si="1"/>
        <v>2</v>
      </c>
      <c r="S23" s="20" t="s">
        <v>117</v>
      </c>
      <c r="T23">
        <f t="shared" si="8"/>
        <v>2</v>
      </c>
      <c r="V23">
        <f t="shared" si="9"/>
        <v>0</v>
      </c>
      <c r="W23" s="20" t="s">
        <v>117</v>
      </c>
      <c r="X23">
        <f t="shared" si="10"/>
        <v>2</v>
      </c>
      <c r="Z23">
        <f t="shared" si="11"/>
        <v>0</v>
      </c>
      <c r="AB23">
        <f t="shared" si="12"/>
        <v>0</v>
      </c>
      <c r="AD23">
        <f t="shared" si="13"/>
        <v>0</v>
      </c>
      <c r="AF23">
        <f t="shared" si="14"/>
        <v>0</v>
      </c>
      <c r="AH23">
        <f t="shared" si="15"/>
        <v>0</v>
      </c>
      <c r="AJ23">
        <f t="shared" si="16"/>
        <v>0</v>
      </c>
      <c r="AL23">
        <f t="shared" si="17"/>
        <v>0</v>
      </c>
    </row>
    <row r="24" spans="1:38" x14ac:dyDescent="0.2">
      <c r="A24" t="s">
        <v>30</v>
      </c>
      <c r="B24" s="22">
        <v>2</v>
      </c>
      <c r="C24" s="17" t="s">
        <v>117</v>
      </c>
      <c r="D24">
        <f t="shared" si="2"/>
        <v>2</v>
      </c>
      <c r="F24">
        <f t="shared" si="3"/>
        <v>0</v>
      </c>
      <c r="G24" s="20" t="s">
        <v>117</v>
      </c>
      <c r="H24">
        <f t="shared" si="4"/>
        <v>2</v>
      </c>
      <c r="J24">
        <f t="shared" si="5"/>
        <v>0</v>
      </c>
      <c r="L24">
        <f t="shared" si="6"/>
        <v>0</v>
      </c>
      <c r="N24">
        <f t="shared" si="7"/>
        <v>0</v>
      </c>
      <c r="P24">
        <f t="shared" si="0"/>
        <v>0</v>
      </c>
      <c r="Q24" s="20" t="s">
        <v>117</v>
      </c>
      <c r="R24">
        <f t="shared" si="1"/>
        <v>2</v>
      </c>
      <c r="S24" s="20" t="s">
        <v>117</v>
      </c>
      <c r="T24">
        <f t="shared" si="8"/>
        <v>2</v>
      </c>
      <c r="U24" s="20" t="s">
        <v>117</v>
      </c>
      <c r="V24">
        <f t="shared" si="9"/>
        <v>2</v>
      </c>
      <c r="W24" s="20" t="s">
        <v>117</v>
      </c>
      <c r="X24">
        <f t="shared" si="10"/>
        <v>2</v>
      </c>
      <c r="Z24">
        <f t="shared" si="11"/>
        <v>0</v>
      </c>
      <c r="AB24">
        <f t="shared" si="12"/>
        <v>0</v>
      </c>
      <c r="AD24">
        <f t="shared" si="13"/>
        <v>0</v>
      </c>
      <c r="AE24" s="20" t="s">
        <v>117</v>
      </c>
      <c r="AF24">
        <f t="shared" si="14"/>
        <v>2</v>
      </c>
      <c r="AG24" s="20" t="s">
        <v>117</v>
      </c>
      <c r="AH24">
        <f t="shared" si="15"/>
        <v>2</v>
      </c>
      <c r="AI24" s="20" t="s">
        <v>117</v>
      </c>
      <c r="AJ24">
        <f t="shared" si="16"/>
        <v>2</v>
      </c>
      <c r="AL24">
        <f t="shared" si="17"/>
        <v>0</v>
      </c>
    </row>
    <row r="25" spans="1:38" x14ac:dyDescent="0.2">
      <c r="A25" t="s">
        <v>9</v>
      </c>
      <c r="B25" s="22">
        <v>1</v>
      </c>
      <c r="C25" s="17" t="s">
        <v>117</v>
      </c>
      <c r="D25">
        <f t="shared" si="2"/>
        <v>1</v>
      </c>
      <c r="F25">
        <f t="shared" si="3"/>
        <v>0</v>
      </c>
      <c r="G25" s="20" t="s">
        <v>117</v>
      </c>
      <c r="H25">
        <f t="shared" si="4"/>
        <v>1</v>
      </c>
      <c r="J25">
        <f t="shared" si="5"/>
        <v>0</v>
      </c>
      <c r="L25">
        <f t="shared" si="6"/>
        <v>0</v>
      </c>
      <c r="N25">
        <f t="shared" si="7"/>
        <v>0</v>
      </c>
      <c r="P25">
        <f t="shared" si="0"/>
        <v>0</v>
      </c>
      <c r="R25">
        <f t="shared" si="1"/>
        <v>0</v>
      </c>
      <c r="S25" s="20" t="s">
        <v>117</v>
      </c>
      <c r="T25">
        <f t="shared" si="8"/>
        <v>1</v>
      </c>
      <c r="U25" s="20" t="s">
        <v>117</v>
      </c>
      <c r="V25">
        <f t="shared" si="9"/>
        <v>1</v>
      </c>
      <c r="W25" s="20" t="s">
        <v>117</v>
      </c>
      <c r="X25">
        <f t="shared" si="10"/>
        <v>1</v>
      </c>
      <c r="Z25">
        <f t="shared" si="11"/>
        <v>0</v>
      </c>
      <c r="AB25">
        <f t="shared" si="12"/>
        <v>0</v>
      </c>
      <c r="AD25">
        <f t="shared" si="13"/>
        <v>0</v>
      </c>
      <c r="AF25">
        <f t="shared" si="14"/>
        <v>0</v>
      </c>
      <c r="AG25" s="20" t="s">
        <v>117</v>
      </c>
      <c r="AH25">
        <f t="shared" si="15"/>
        <v>1</v>
      </c>
      <c r="AJ25">
        <f t="shared" si="16"/>
        <v>0</v>
      </c>
      <c r="AL25">
        <f t="shared" si="17"/>
        <v>0</v>
      </c>
    </row>
    <row r="26" spans="1:38" x14ac:dyDescent="0.2">
      <c r="A26" t="s">
        <v>2</v>
      </c>
      <c r="B26" s="22">
        <v>2</v>
      </c>
      <c r="C26" s="17" t="s">
        <v>117</v>
      </c>
      <c r="D26">
        <f t="shared" si="2"/>
        <v>2</v>
      </c>
      <c r="F26">
        <f t="shared" si="3"/>
        <v>0</v>
      </c>
      <c r="H26">
        <f t="shared" si="4"/>
        <v>0</v>
      </c>
      <c r="J26">
        <f t="shared" si="5"/>
        <v>0</v>
      </c>
      <c r="L26">
        <f t="shared" si="6"/>
        <v>0</v>
      </c>
      <c r="N26">
        <f t="shared" si="7"/>
        <v>0</v>
      </c>
      <c r="P26">
        <f t="shared" si="0"/>
        <v>0</v>
      </c>
      <c r="R26">
        <f t="shared" si="1"/>
        <v>0</v>
      </c>
      <c r="S26" s="20" t="s">
        <v>117</v>
      </c>
      <c r="T26">
        <f t="shared" si="8"/>
        <v>2</v>
      </c>
      <c r="U26" s="20" t="s">
        <v>117</v>
      </c>
      <c r="V26">
        <f t="shared" si="9"/>
        <v>2</v>
      </c>
      <c r="W26" s="20" t="s">
        <v>117</v>
      </c>
      <c r="X26">
        <f t="shared" si="10"/>
        <v>2</v>
      </c>
      <c r="Z26">
        <f t="shared" si="11"/>
        <v>0</v>
      </c>
      <c r="AB26">
        <f t="shared" si="12"/>
        <v>0</v>
      </c>
      <c r="AD26">
        <f t="shared" si="13"/>
        <v>0</v>
      </c>
      <c r="AF26">
        <f t="shared" si="14"/>
        <v>0</v>
      </c>
      <c r="AG26" s="20" t="s">
        <v>117</v>
      </c>
      <c r="AH26">
        <f t="shared" si="15"/>
        <v>2</v>
      </c>
      <c r="AJ26">
        <f t="shared" si="16"/>
        <v>0</v>
      </c>
      <c r="AL26">
        <f t="shared" si="17"/>
        <v>0</v>
      </c>
    </row>
    <row r="27" spans="1:38" x14ac:dyDescent="0.2">
      <c r="A27" t="s">
        <v>54</v>
      </c>
      <c r="B27" s="22">
        <v>48</v>
      </c>
      <c r="C27" s="17" t="s">
        <v>117</v>
      </c>
      <c r="D27">
        <f t="shared" si="2"/>
        <v>48</v>
      </c>
      <c r="F27">
        <f t="shared" si="3"/>
        <v>0</v>
      </c>
      <c r="H27">
        <f t="shared" si="4"/>
        <v>0</v>
      </c>
      <c r="J27">
        <f t="shared" si="5"/>
        <v>0</v>
      </c>
      <c r="L27">
        <f t="shared" si="6"/>
        <v>0</v>
      </c>
      <c r="N27">
        <f t="shared" si="7"/>
        <v>0</v>
      </c>
      <c r="P27">
        <f t="shared" si="0"/>
        <v>0</v>
      </c>
      <c r="R27">
        <f t="shared" si="1"/>
        <v>0</v>
      </c>
      <c r="S27" s="20" t="s">
        <v>117</v>
      </c>
      <c r="T27">
        <f t="shared" si="8"/>
        <v>48</v>
      </c>
      <c r="V27">
        <f t="shared" si="9"/>
        <v>0</v>
      </c>
      <c r="X27">
        <f t="shared" si="10"/>
        <v>0</v>
      </c>
      <c r="Z27">
        <f t="shared" si="11"/>
        <v>0</v>
      </c>
      <c r="AB27">
        <f t="shared" si="12"/>
        <v>0</v>
      </c>
      <c r="AD27">
        <f t="shared" si="13"/>
        <v>0</v>
      </c>
      <c r="AF27">
        <f t="shared" si="14"/>
        <v>0</v>
      </c>
      <c r="AH27">
        <f t="shared" si="15"/>
        <v>0</v>
      </c>
      <c r="AJ27">
        <f t="shared" si="16"/>
        <v>0</v>
      </c>
      <c r="AL27">
        <f t="shared" si="17"/>
        <v>0</v>
      </c>
    </row>
    <row r="28" spans="1:38" x14ac:dyDescent="0.2">
      <c r="A28" t="s">
        <v>0</v>
      </c>
      <c r="B28" s="22">
        <v>2</v>
      </c>
      <c r="C28" s="17" t="s">
        <v>117</v>
      </c>
      <c r="D28">
        <f t="shared" si="2"/>
        <v>2</v>
      </c>
      <c r="F28">
        <f t="shared" si="3"/>
        <v>0</v>
      </c>
      <c r="H28">
        <f t="shared" si="4"/>
        <v>0</v>
      </c>
      <c r="J28">
        <f t="shared" si="5"/>
        <v>0</v>
      </c>
      <c r="L28">
        <f t="shared" si="6"/>
        <v>0</v>
      </c>
      <c r="N28">
        <f t="shared" si="7"/>
        <v>0</v>
      </c>
      <c r="P28">
        <f t="shared" si="0"/>
        <v>0</v>
      </c>
      <c r="R28">
        <f t="shared" si="1"/>
        <v>0</v>
      </c>
      <c r="T28">
        <f t="shared" si="8"/>
        <v>0</v>
      </c>
      <c r="U28" s="20" t="s">
        <v>117</v>
      </c>
      <c r="V28">
        <f t="shared" si="9"/>
        <v>2</v>
      </c>
      <c r="W28" s="20" t="s">
        <v>117</v>
      </c>
      <c r="X28">
        <f t="shared" si="10"/>
        <v>2</v>
      </c>
      <c r="Z28">
        <f t="shared" si="11"/>
        <v>0</v>
      </c>
      <c r="AB28">
        <f t="shared" si="12"/>
        <v>0</v>
      </c>
      <c r="AD28">
        <f t="shared" si="13"/>
        <v>0</v>
      </c>
      <c r="AF28">
        <f t="shared" si="14"/>
        <v>0</v>
      </c>
      <c r="AG28" s="20" t="s">
        <v>117</v>
      </c>
      <c r="AH28">
        <f t="shared" si="15"/>
        <v>2</v>
      </c>
      <c r="AJ28">
        <f t="shared" si="16"/>
        <v>0</v>
      </c>
      <c r="AL28">
        <f t="shared" si="17"/>
        <v>0</v>
      </c>
    </row>
    <row r="29" spans="1:38" x14ac:dyDescent="0.2">
      <c r="A29" t="s">
        <v>6</v>
      </c>
      <c r="B29" s="22">
        <v>1</v>
      </c>
      <c r="D29">
        <f t="shared" si="2"/>
        <v>0</v>
      </c>
      <c r="F29">
        <f t="shared" si="3"/>
        <v>0</v>
      </c>
      <c r="G29" s="20" t="s">
        <v>117</v>
      </c>
      <c r="H29">
        <f t="shared" si="4"/>
        <v>1</v>
      </c>
      <c r="J29">
        <f t="shared" si="5"/>
        <v>0</v>
      </c>
      <c r="K29" s="20" t="s">
        <v>117</v>
      </c>
      <c r="L29">
        <f t="shared" si="6"/>
        <v>1</v>
      </c>
      <c r="M29" s="20" t="s">
        <v>117</v>
      </c>
      <c r="N29">
        <f t="shared" si="7"/>
        <v>1</v>
      </c>
      <c r="O29" s="20" t="s">
        <v>117</v>
      </c>
      <c r="P29">
        <f t="shared" si="0"/>
        <v>1</v>
      </c>
      <c r="Q29" s="20" t="s">
        <v>117</v>
      </c>
      <c r="R29">
        <f t="shared" si="1"/>
        <v>1</v>
      </c>
      <c r="S29" s="20" t="s">
        <v>117</v>
      </c>
      <c r="T29">
        <f t="shared" si="8"/>
        <v>1</v>
      </c>
      <c r="V29">
        <f t="shared" si="9"/>
        <v>0</v>
      </c>
      <c r="X29">
        <f t="shared" si="10"/>
        <v>0</v>
      </c>
      <c r="Z29">
        <f t="shared" si="11"/>
        <v>0</v>
      </c>
      <c r="AA29" s="20" t="s">
        <v>117</v>
      </c>
      <c r="AB29">
        <f t="shared" si="12"/>
        <v>1</v>
      </c>
      <c r="AD29">
        <f t="shared" si="13"/>
        <v>0</v>
      </c>
      <c r="AE29" s="20" t="s">
        <v>117</v>
      </c>
      <c r="AF29">
        <f t="shared" si="14"/>
        <v>1</v>
      </c>
      <c r="AH29">
        <f t="shared" si="15"/>
        <v>0</v>
      </c>
      <c r="AI29" s="20" t="s">
        <v>117</v>
      </c>
      <c r="AJ29">
        <f t="shared" si="16"/>
        <v>1</v>
      </c>
      <c r="AK29" s="20" t="s">
        <v>117</v>
      </c>
      <c r="AL29">
        <f t="shared" si="17"/>
        <v>1</v>
      </c>
    </row>
    <row r="30" spans="1:38" x14ac:dyDescent="0.2">
      <c r="A30" t="s">
        <v>1</v>
      </c>
      <c r="B30" s="22">
        <v>5</v>
      </c>
      <c r="C30" s="17" t="s">
        <v>117</v>
      </c>
      <c r="D30">
        <f t="shared" si="2"/>
        <v>5</v>
      </c>
      <c r="F30">
        <f t="shared" si="3"/>
        <v>0</v>
      </c>
      <c r="H30">
        <f t="shared" si="4"/>
        <v>0</v>
      </c>
      <c r="J30">
        <f t="shared" si="5"/>
        <v>0</v>
      </c>
      <c r="L30">
        <f t="shared" si="6"/>
        <v>0</v>
      </c>
      <c r="N30">
        <f t="shared" si="7"/>
        <v>0</v>
      </c>
      <c r="P30">
        <f t="shared" si="0"/>
        <v>0</v>
      </c>
      <c r="R30">
        <f t="shared" si="1"/>
        <v>0</v>
      </c>
      <c r="S30" s="20" t="s">
        <v>117</v>
      </c>
      <c r="T30">
        <f t="shared" si="8"/>
        <v>5</v>
      </c>
      <c r="U30" s="20" t="s">
        <v>117</v>
      </c>
      <c r="V30">
        <f t="shared" si="9"/>
        <v>5</v>
      </c>
      <c r="X30">
        <f t="shared" si="10"/>
        <v>0</v>
      </c>
      <c r="Z30">
        <f t="shared" si="11"/>
        <v>0</v>
      </c>
      <c r="AB30">
        <f t="shared" si="12"/>
        <v>0</v>
      </c>
      <c r="AD30">
        <f t="shared" si="13"/>
        <v>0</v>
      </c>
      <c r="AF30">
        <f t="shared" si="14"/>
        <v>0</v>
      </c>
      <c r="AG30" s="20" t="s">
        <v>117</v>
      </c>
      <c r="AH30">
        <f t="shared" si="15"/>
        <v>5</v>
      </c>
      <c r="AJ30">
        <f t="shared" si="16"/>
        <v>0</v>
      </c>
      <c r="AL30">
        <f t="shared" si="17"/>
        <v>0</v>
      </c>
    </row>
    <row r="31" spans="1:38" x14ac:dyDescent="0.2">
      <c r="A31" t="s">
        <v>118</v>
      </c>
      <c r="B31" s="22">
        <v>5</v>
      </c>
      <c r="D31">
        <f t="shared" si="2"/>
        <v>0</v>
      </c>
      <c r="F31">
        <f t="shared" si="3"/>
        <v>0</v>
      </c>
      <c r="H31">
        <f t="shared" si="4"/>
        <v>0</v>
      </c>
      <c r="J31">
        <f t="shared" si="5"/>
        <v>0</v>
      </c>
      <c r="L31">
        <f t="shared" si="6"/>
        <v>0</v>
      </c>
      <c r="N31">
        <f t="shared" si="7"/>
        <v>0</v>
      </c>
      <c r="P31">
        <f t="shared" si="0"/>
        <v>0</v>
      </c>
      <c r="R31">
        <f t="shared" si="1"/>
        <v>0</v>
      </c>
      <c r="T31">
        <f t="shared" si="8"/>
        <v>0</v>
      </c>
      <c r="V31">
        <f t="shared" si="9"/>
        <v>0</v>
      </c>
      <c r="X31">
        <f t="shared" si="10"/>
        <v>0</v>
      </c>
      <c r="Z31">
        <f t="shared" si="11"/>
        <v>0</v>
      </c>
      <c r="AB31">
        <f t="shared" si="12"/>
        <v>0</v>
      </c>
      <c r="AD31">
        <f t="shared" si="13"/>
        <v>0</v>
      </c>
      <c r="AF31">
        <f t="shared" si="14"/>
        <v>0</v>
      </c>
      <c r="AG31" s="20" t="s">
        <v>117</v>
      </c>
      <c r="AH31">
        <f t="shared" si="15"/>
        <v>5</v>
      </c>
      <c r="AJ31">
        <f t="shared" si="16"/>
        <v>0</v>
      </c>
      <c r="AL31">
        <f t="shared" si="17"/>
        <v>0</v>
      </c>
    </row>
    <row r="32" spans="1:38" x14ac:dyDescent="0.2">
      <c r="A32" t="s">
        <v>119</v>
      </c>
      <c r="B32" s="22">
        <v>1</v>
      </c>
      <c r="D32">
        <f t="shared" si="2"/>
        <v>0</v>
      </c>
      <c r="F32">
        <f t="shared" si="3"/>
        <v>0</v>
      </c>
      <c r="H32">
        <f t="shared" si="4"/>
        <v>0</v>
      </c>
      <c r="J32">
        <f t="shared" si="5"/>
        <v>0</v>
      </c>
      <c r="L32">
        <f t="shared" si="6"/>
        <v>0</v>
      </c>
      <c r="N32">
        <f t="shared" si="7"/>
        <v>0</v>
      </c>
      <c r="P32">
        <f t="shared" si="0"/>
        <v>0</v>
      </c>
      <c r="R32">
        <f t="shared" si="1"/>
        <v>0</v>
      </c>
      <c r="T32">
        <f t="shared" si="8"/>
        <v>0</v>
      </c>
      <c r="V32">
        <f t="shared" si="9"/>
        <v>0</v>
      </c>
      <c r="X32">
        <f t="shared" si="10"/>
        <v>0</v>
      </c>
      <c r="Z32">
        <f t="shared" si="11"/>
        <v>0</v>
      </c>
      <c r="AB32">
        <f t="shared" si="12"/>
        <v>0</v>
      </c>
      <c r="AD32">
        <f t="shared" si="13"/>
        <v>0</v>
      </c>
      <c r="AF32">
        <f t="shared" si="14"/>
        <v>0</v>
      </c>
      <c r="AG32" s="20" t="s">
        <v>117</v>
      </c>
      <c r="AH32">
        <f t="shared" si="15"/>
        <v>1</v>
      </c>
      <c r="AJ32">
        <f t="shared" si="16"/>
        <v>0</v>
      </c>
      <c r="AL32">
        <f t="shared" si="17"/>
        <v>0</v>
      </c>
    </row>
    <row r="33" spans="1:38" x14ac:dyDescent="0.2">
      <c r="A33" t="s">
        <v>269</v>
      </c>
      <c r="B33" s="22">
        <v>72</v>
      </c>
      <c r="D33">
        <f t="shared" si="2"/>
        <v>0</v>
      </c>
      <c r="F33">
        <f t="shared" si="3"/>
        <v>0</v>
      </c>
      <c r="H33">
        <f t="shared" si="4"/>
        <v>0</v>
      </c>
      <c r="J33">
        <f t="shared" si="5"/>
        <v>0</v>
      </c>
      <c r="L33">
        <f t="shared" si="6"/>
        <v>0</v>
      </c>
      <c r="N33">
        <f t="shared" si="7"/>
        <v>0</v>
      </c>
      <c r="P33">
        <f t="shared" si="0"/>
        <v>0</v>
      </c>
      <c r="R33">
        <f t="shared" si="1"/>
        <v>0</v>
      </c>
      <c r="T33">
        <f t="shared" si="8"/>
        <v>0</v>
      </c>
      <c r="U33" s="20" t="s">
        <v>117</v>
      </c>
      <c r="V33">
        <f t="shared" si="9"/>
        <v>72</v>
      </c>
      <c r="X33">
        <f t="shared" si="10"/>
        <v>0</v>
      </c>
      <c r="Z33">
        <f t="shared" si="11"/>
        <v>0</v>
      </c>
      <c r="AB33">
        <f t="shared" si="12"/>
        <v>0</v>
      </c>
      <c r="AD33">
        <f t="shared" si="13"/>
        <v>0</v>
      </c>
      <c r="AF33">
        <f t="shared" si="14"/>
        <v>0</v>
      </c>
      <c r="AH33">
        <f t="shared" si="15"/>
        <v>0</v>
      </c>
      <c r="AJ33">
        <f t="shared" si="16"/>
        <v>0</v>
      </c>
      <c r="AL33">
        <f t="shared" si="17"/>
        <v>0</v>
      </c>
    </row>
    <row r="34" spans="1:38" x14ac:dyDescent="0.2">
      <c r="A34" t="s">
        <v>283</v>
      </c>
      <c r="B34" s="22">
        <v>5</v>
      </c>
      <c r="D34">
        <f t="shared" si="2"/>
        <v>0</v>
      </c>
      <c r="F34">
        <f t="shared" si="3"/>
        <v>0</v>
      </c>
      <c r="H34">
        <f t="shared" si="4"/>
        <v>0</v>
      </c>
      <c r="J34">
        <f t="shared" si="5"/>
        <v>0</v>
      </c>
      <c r="L34">
        <f t="shared" si="6"/>
        <v>0</v>
      </c>
      <c r="N34">
        <f t="shared" si="7"/>
        <v>0</v>
      </c>
      <c r="P34">
        <f t="shared" si="0"/>
        <v>0</v>
      </c>
      <c r="R34">
        <f t="shared" si="1"/>
        <v>0</v>
      </c>
      <c r="T34">
        <f t="shared" si="8"/>
        <v>0</v>
      </c>
      <c r="W34" s="20" t="s">
        <v>117</v>
      </c>
      <c r="X34">
        <f t="shared" si="10"/>
        <v>5</v>
      </c>
      <c r="Z34">
        <f t="shared" si="11"/>
        <v>0</v>
      </c>
      <c r="AB34">
        <f t="shared" si="12"/>
        <v>0</v>
      </c>
      <c r="AD34">
        <f t="shared" si="13"/>
        <v>0</v>
      </c>
      <c r="AF34">
        <f t="shared" si="14"/>
        <v>0</v>
      </c>
      <c r="AH34">
        <f t="shared" si="15"/>
        <v>0</v>
      </c>
      <c r="AJ34">
        <f t="shared" si="16"/>
        <v>0</v>
      </c>
      <c r="AL34">
        <f t="shared" si="17"/>
        <v>0</v>
      </c>
    </row>
    <row r="35" spans="1:38" x14ac:dyDescent="0.2">
      <c r="A35" t="s">
        <v>284</v>
      </c>
      <c r="B35" s="22">
        <v>12</v>
      </c>
      <c r="D35">
        <f t="shared" si="2"/>
        <v>0</v>
      </c>
      <c r="F35">
        <f t="shared" si="3"/>
        <v>0</v>
      </c>
      <c r="H35">
        <f t="shared" si="4"/>
        <v>0</v>
      </c>
      <c r="J35">
        <f t="shared" si="5"/>
        <v>0</v>
      </c>
      <c r="L35">
        <f t="shared" si="6"/>
        <v>0</v>
      </c>
      <c r="N35">
        <f t="shared" si="7"/>
        <v>0</v>
      </c>
      <c r="P35">
        <f t="shared" si="0"/>
        <v>0</v>
      </c>
      <c r="R35">
        <f t="shared" si="1"/>
        <v>0</v>
      </c>
      <c r="T35">
        <f t="shared" si="8"/>
        <v>0</v>
      </c>
      <c r="W35" s="20" t="s">
        <v>117</v>
      </c>
      <c r="X35">
        <f t="shared" si="10"/>
        <v>12</v>
      </c>
      <c r="Z35">
        <f t="shared" si="11"/>
        <v>0</v>
      </c>
      <c r="AA35" s="20" t="s">
        <v>117</v>
      </c>
      <c r="AB35">
        <f t="shared" si="12"/>
        <v>12</v>
      </c>
      <c r="AD35">
        <f t="shared" si="13"/>
        <v>0</v>
      </c>
      <c r="AF35">
        <f t="shared" si="14"/>
        <v>0</v>
      </c>
      <c r="AH35">
        <f t="shared" si="15"/>
        <v>0</v>
      </c>
      <c r="AI35" s="20" t="s">
        <v>117</v>
      </c>
      <c r="AJ35">
        <f t="shared" si="16"/>
        <v>12</v>
      </c>
      <c r="AL35">
        <f t="shared" si="17"/>
        <v>0</v>
      </c>
    </row>
    <row r="37" spans="1:38" x14ac:dyDescent="0.2">
      <c r="A37" s="16" t="s">
        <v>81</v>
      </c>
      <c r="B37" s="24"/>
      <c r="C37" s="18"/>
      <c r="D37" s="16">
        <f>SUM(D4:D36)</f>
        <v>164</v>
      </c>
      <c r="E37" s="16"/>
      <c r="F37" s="16">
        <f t="shared" ref="F37:T37" si="18">SUM(F4:F36)</f>
        <v>2</v>
      </c>
      <c r="G37" s="16"/>
      <c r="H37" s="16">
        <f t="shared" si="18"/>
        <v>28</v>
      </c>
      <c r="I37" s="16"/>
      <c r="J37" s="16">
        <f t="shared" si="18"/>
        <v>29</v>
      </c>
      <c r="K37" s="16"/>
      <c r="L37" s="16">
        <f t="shared" si="18"/>
        <v>13</v>
      </c>
      <c r="M37" s="16"/>
      <c r="N37" s="16">
        <f t="shared" si="18"/>
        <v>35</v>
      </c>
      <c r="O37" s="16"/>
      <c r="P37" s="16">
        <f t="shared" si="18"/>
        <v>12</v>
      </c>
      <c r="Q37" s="16"/>
      <c r="R37" s="16">
        <f t="shared" si="18"/>
        <v>56</v>
      </c>
      <c r="S37" s="16"/>
      <c r="T37" s="16">
        <f t="shared" si="18"/>
        <v>163</v>
      </c>
      <c r="U37" s="16"/>
      <c r="V37" s="16">
        <f t="shared" ref="V37:AJ37" si="19">SUM(V4:V36)</f>
        <v>110</v>
      </c>
      <c r="W37" s="21"/>
      <c r="X37" s="16">
        <f t="shared" si="19"/>
        <v>122</v>
      </c>
      <c r="Y37" s="21"/>
      <c r="Z37" s="16">
        <f t="shared" si="19"/>
        <v>2</v>
      </c>
      <c r="AA37" s="21"/>
      <c r="AB37" s="16">
        <f t="shared" si="19"/>
        <v>41</v>
      </c>
      <c r="AC37" s="16"/>
      <c r="AD37" s="16">
        <f t="shared" si="19"/>
        <v>0</v>
      </c>
      <c r="AE37" s="16"/>
      <c r="AF37" s="16">
        <f t="shared" si="19"/>
        <v>3</v>
      </c>
      <c r="AG37" s="21"/>
      <c r="AH37" s="16">
        <f t="shared" si="19"/>
        <v>53</v>
      </c>
      <c r="AI37" s="21"/>
      <c r="AJ37" s="21">
        <f t="shared" si="19"/>
        <v>15</v>
      </c>
      <c r="AK37" s="16"/>
      <c r="AL37" s="16">
        <f t="shared" ref="AL37" si="20">SUM(AL4:AL36)</f>
        <v>37</v>
      </c>
    </row>
    <row r="38" spans="1:38" x14ac:dyDescent="0.2">
      <c r="AJ38">
        <f t="shared" si="16"/>
        <v>0</v>
      </c>
    </row>
    <row r="39" spans="1:38" x14ac:dyDescent="0.2">
      <c r="A39" s="1" t="s">
        <v>313</v>
      </c>
      <c r="AJ39">
        <f t="shared" si="16"/>
        <v>0</v>
      </c>
    </row>
    <row r="40" spans="1:38" x14ac:dyDescent="0.2">
      <c r="A40" t="s">
        <v>7</v>
      </c>
      <c r="B40" s="22">
        <v>12</v>
      </c>
      <c r="C40" s="17" t="s">
        <v>117</v>
      </c>
      <c r="D40">
        <f>IF(C40="x", $B40,0)</f>
        <v>12</v>
      </c>
      <c r="F40">
        <f>IF(E40="x", $B40,0)</f>
        <v>0</v>
      </c>
      <c r="H40">
        <f>IF(G40="x", $B40,0)</f>
        <v>0</v>
      </c>
      <c r="I40" s="20" t="s">
        <v>117</v>
      </c>
      <c r="J40">
        <f>IF(I40="x", $B40,0)</f>
        <v>12</v>
      </c>
      <c r="L40">
        <f>IF(K40="x", $B40,0)</f>
        <v>0</v>
      </c>
      <c r="N40">
        <f>IF(M40="x", $B40,0)</f>
        <v>0</v>
      </c>
      <c r="O40" s="20" t="s">
        <v>117</v>
      </c>
      <c r="P40">
        <f>IF(O40="x", $B40,0)</f>
        <v>12</v>
      </c>
      <c r="Q40" s="20" t="s">
        <v>117</v>
      </c>
      <c r="R40">
        <f>IF(Q40="x", $B40,0)</f>
        <v>12</v>
      </c>
      <c r="T40">
        <f>IF(S40="x", $B40,0)</f>
        <v>0</v>
      </c>
      <c r="V40">
        <f t="shared" ref="V40:V49" si="21">IF(U40="x", $B40,0)</f>
        <v>0</v>
      </c>
      <c r="X40">
        <f>IF(W40="x", $B40,0)</f>
        <v>0</v>
      </c>
      <c r="Z40">
        <f>IF(Y40="x", $B40,0)</f>
        <v>0</v>
      </c>
      <c r="AB40">
        <f>IF(AA40="x", $B40,0)</f>
        <v>0</v>
      </c>
      <c r="AD40">
        <f>IF(AC40="x", $B40,0)</f>
        <v>0</v>
      </c>
      <c r="AF40">
        <f t="shared" ref="AF40:AH48" si="22">IF(AE40="x", $B40,0)</f>
        <v>0</v>
      </c>
      <c r="AH40">
        <f t="shared" si="22"/>
        <v>0</v>
      </c>
      <c r="AJ40">
        <f t="shared" si="16"/>
        <v>0</v>
      </c>
      <c r="AL40">
        <f>IF(AK40="x", $B40,0)</f>
        <v>0</v>
      </c>
    </row>
    <row r="41" spans="1:38" x14ac:dyDescent="0.2">
      <c r="A41" t="s">
        <v>10</v>
      </c>
      <c r="B41" s="22">
        <f>15*1.5</f>
        <v>22.5</v>
      </c>
      <c r="C41" s="17" t="s">
        <v>117</v>
      </c>
      <c r="D41">
        <f t="shared" ref="D41:D49" si="23">IF(C41="x", $B41,0)</f>
        <v>22.5</v>
      </c>
      <c r="E41" s="20" t="s">
        <v>117</v>
      </c>
      <c r="F41">
        <f>IF(E41="x", $B41,0)</f>
        <v>22.5</v>
      </c>
      <c r="G41" s="20" t="s">
        <v>117</v>
      </c>
      <c r="H41">
        <f>IF(G41="x", $B41,0)</f>
        <v>22.5</v>
      </c>
      <c r="I41" s="20" t="s">
        <v>117</v>
      </c>
      <c r="J41">
        <f>IF(I41="x", $B41,0)</f>
        <v>22.5</v>
      </c>
      <c r="L41">
        <f>IF(K41="x", $B41,0)</f>
        <v>0</v>
      </c>
      <c r="N41">
        <f t="shared" ref="N41:N49" si="24">IF(M41="x", $B41,0)</f>
        <v>0</v>
      </c>
      <c r="O41" s="20" t="s">
        <v>117</v>
      </c>
      <c r="P41">
        <f>IF(O41="x", $B41,0)</f>
        <v>22.5</v>
      </c>
      <c r="Q41" s="20" t="s">
        <v>117</v>
      </c>
      <c r="R41">
        <f>IF(Q41="x", $B41,0)</f>
        <v>22.5</v>
      </c>
      <c r="S41" s="20" t="s">
        <v>117</v>
      </c>
      <c r="T41">
        <f t="shared" ref="T41:T49" si="25">IF(S41="x", $B41,0)</f>
        <v>22.5</v>
      </c>
      <c r="V41">
        <f t="shared" si="21"/>
        <v>0</v>
      </c>
      <c r="X41">
        <f t="shared" ref="X41:X46" si="26">IF(W41="x", $B41,0)</f>
        <v>0</v>
      </c>
      <c r="Z41">
        <f t="shared" ref="Z41:Z46" si="27">IF(Y41="x", $B41,0)</f>
        <v>0</v>
      </c>
      <c r="AB41">
        <f t="shared" ref="AB41:AB49" si="28">IF(AA41="x", $B41,0)</f>
        <v>0</v>
      </c>
      <c r="AD41">
        <f t="shared" ref="AD41:AD49" si="29">IF(AC41="x", $B41,0)</f>
        <v>0</v>
      </c>
      <c r="AF41">
        <f t="shared" si="22"/>
        <v>0</v>
      </c>
      <c r="AH41">
        <f t="shared" ref="AH41" si="30">IF(AG41="x", $B41,0)</f>
        <v>0</v>
      </c>
      <c r="AJ41">
        <f t="shared" si="16"/>
        <v>0</v>
      </c>
      <c r="AL41">
        <f t="shared" ref="AL41:AL49" si="31">IF(AK41="x", $B41,0)</f>
        <v>0</v>
      </c>
    </row>
    <row r="42" spans="1:38" x14ac:dyDescent="0.2">
      <c r="A42" t="s">
        <v>264</v>
      </c>
      <c r="B42" s="22">
        <v>24</v>
      </c>
      <c r="D42">
        <f t="shared" si="23"/>
        <v>0</v>
      </c>
      <c r="N42">
        <f t="shared" si="24"/>
        <v>0</v>
      </c>
      <c r="S42" s="20" t="s">
        <v>117</v>
      </c>
      <c r="T42">
        <f t="shared" si="25"/>
        <v>24</v>
      </c>
      <c r="V42">
        <f t="shared" si="21"/>
        <v>0</v>
      </c>
      <c r="X42">
        <f t="shared" si="26"/>
        <v>0</v>
      </c>
      <c r="Z42">
        <f t="shared" si="27"/>
        <v>0</v>
      </c>
      <c r="AB42">
        <f t="shared" si="28"/>
        <v>0</v>
      </c>
      <c r="AD42">
        <f t="shared" si="29"/>
        <v>0</v>
      </c>
      <c r="AF42">
        <f t="shared" si="22"/>
        <v>0</v>
      </c>
      <c r="AH42">
        <f t="shared" ref="AH42" si="32">IF(AG42="x", $B42,0)</f>
        <v>0</v>
      </c>
      <c r="AJ42">
        <f t="shared" si="16"/>
        <v>0</v>
      </c>
      <c r="AL42">
        <f t="shared" si="31"/>
        <v>0</v>
      </c>
    </row>
    <row r="43" spans="1:38" x14ac:dyDescent="0.2">
      <c r="A43" t="s">
        <v>270</v>
      </c>
      <c r="B43" s="22">
        <v>36</v>
      </c>
      <c r="D43">
        <f t="shared" si="23"/>
        <v>0</v>
      </c>
      <c r="N43">
        <f t="shared" si="24"/>
        <v>0</v>
      </c>
      <c r="T43">
        <f t="shared" si="25"/>
        <v>0</v>
      </c>
      <c r="U43" s="20" t="s">
        <v>117</v>
      </c>
      <c r="V43">
        <f t="shared" si="21"/>
        <v>36</v>
      </c>
      <c r="X43">
        <f t="shared" si="26"/>
        <v>0</v>
      </c>
      <c r="Z43">
        <f t="shared" si="27"/>
        <v>0</v>
      </c>
      <c r="AB43">
        <f t="shared" si="28"/>
        <v>0</v>
      </c>
      <c r="AD43">
        <f t="shared" si="29"/>
        <v>0</v>
      </c>
      <c r="AF43">
        <f t="shared" si="22"/>
        <v>0</v>
      </c>
      <c r="AH43">
        <f t="shared" ref="AH43" si="33">IF(AG43="x", $B43,0)</f>
        <v>0</v>
      </c>
      <c r="AJ43">
        <f t="shared" si="16"/>
        <v>0</v>
      </c>
      <c r="AL43">
        <f t="shared" si="31"/>
        <v>0</v>
      </c>
    </row>
    <row r="44" spans="1:38" x14ac:dyDescent="0.2">
      <c r="A44" t="s">
        <v>271</v>
      </c>
      <c r="B44" s="22">
        <v>30</v>
      </c>
      <c r="D44">
        <f t="shared" si="23"/>
        <v>0</v>
      </c>
      <c r="N44">
        <f t="shared" si="24"/>
        <v>0</v>
      </c>
      <c r="T44">
        <f t="shared" si="25"/>
        <v>0</v>
      </c>
      <c r="U44" s="20" t="s">
        <v>117</v>
      </c>
      <c r="V44">
        <f t="shared" si="21"/>
        <v>30</v>
      </c>
      <c r="X44">
        <f t="shared" si="26"/>
        <v>0</v>
      </c>
      <c r="Z44">
        <f t="shared" si="27"/>
        <v>0</v>
      </c>
      <c r="AB44">
        <f t="shared" si="28"/>
        <v>0</v>
      </c>
      <c r="AD44">
        <f t="shared" si="29"/>
        <v>0</v>
      </c>
      <c r="AF44">
        <f t="shared" si="22"/>
        <v>0</v>
      </c>
      <c r="AH44">
        <f t="shared" ref="AH44" si="34">IF(AG44="x", $B44,0)</f>
        <v>0</v>
      </c>
      <c r="AJ44">
        <f t="shared" si="16"/>
        <v>0</v>
      </c>
      <c r="AL44">
        <f t="shared" si="31"/>
        <v>0</v>
      </c>
    </row>
    <row r="45" spans="1:38" x14ac:dyDescent="0.2">
      <c r="A45" t="s">
        <v>281</v>
      </c>
      <c r="B45" s="22">
        <v>12</v>
      </c>
      <c r="D45">
        <f t="shared" si="23"/>
        <v>0</v>
      </c>
      <c r="N45">
        <f t="shared" si="24"/>
        <v>0</v>
      </c>
      <c r="T45">
        <f t="shared" si="25"/>
        <v>0</v>
      </c>
      <c r="V45">
        <f t="shared" si="21"/>
        <v>0</v>
      </c>
      <c r="W45" s="20" t="s">
        <v>117</v>
      </c>
      <c r="X45">
        <f t="shared" si="26"/>
        <v>12</v>
      </c>
      <c r="Y45" s="20" t="s">
        <v>117</v>
      </c>
      <c r="Z45">
        <f t="shared" si="27"/>
        <v>12</v>
      </c>
      <c r="AB45">
        <f t="shared" si="28"/>
        <v>0</v>
      </c>
      <c r="AD45">
        <f t="shared" si="29"/>
        <v>0</v>
      </c>
      <c r="AE45" s="20" t="s">
        <v>117</v>
      </c>
      <c r="AF45">
        <f t="shared" si="22"/>
        <v>12</v>
      </c>
      <c r="AH45">
        <f t="shared" ref="AH45" si="35">IF(AG45="x", $B45,0)</f>
        <v>0</v>
      </c>
      <c r="AI45" s="20" t="s">
        <v>117</v>
      </c>
      <c r="AJ45">
        <f t="shared" si="16"/>
        <v>12</v>
      </c>
      <c r="AL45">
        <f t="shared" si="31"/>
        <v>0</v>
      </c>
    </row>
    <row r="46" spans="1:38" x14ac:dyDescent="0.2">
      <c r="A46" t="s">
        <v>282</v>
      </c>
      <c r="B46" s="22">
        <v>5</v>
      </c>
      <c r="D46">
        <f t="shared" si="23"/>
        <v>0</v>
      </c>
      <c r="N46">
        <f t="shared" si="24"/>
        <v>0</v>
      </c>
      <c r="T46">
        <f t="shared" si="25"/>
        <v>0</v>
      </c>
      <c r="V46">
        <f t="shared" si="21"/>
        <v>0</v>
      </c>
      <c r="W46" s="20" t="s">
        <v>117</v>
      </c>
      <c r="X46">
        <f t="shared" si="26"/>
        <v>5</v>
      </c>
      <c r="Y46" s="20" t="s">
        <v>117</v>
      </c>
      <c r="Z46">
        <f t="shared" si="27"/>
        <v>5</v>
      </c>
      <c r="AB46">
        <f t="shared" si="28"/>
        <v>0</v>
      </c>
      <c r="AD46">
        <f t="shared" si="29"/>
        <v>0</v>
      </c>
      <c r="AF46">
        <f t="shared" si="22"/>
        <v>0</v>
      </c>
      <c r="AH46">
        <f t="shared" ref="AH46:AH49" si="36">IF(AG46="x", $B46,0)</f>
        <v>0</v>
      </c>
      <c r="AJ46">
        <f t="shared" si="16"/>
        <v>0</v>
      </c>
      <c r="AL46">
        <f t="shared" si="31"/>
        <v>0</v>
      </c>
    </row>
    <row r="47" spans="1:38" x14ac:dyDescent="0.2">
      <c r="A47" t="s">
        <v>320</v>
      </c>
      <c r="B47" s="22">
        <v>24</v>
      </c>
      <c r="D47">
        <f t="shared" si="23"/>
        <v>0</v>
      </c>
      <c r="N47">
        <f t="shared" si="24"/>
        <v>0</v>
      </c>
      <c r="T47">
        <f t="shared" si="25"/>
        <v>0</v>
      </c>
      <c r="V47">
        <f t="shared" si="21"/>
        <v>0</v>
      </c>
      <c r="AB47">
        <f t="shared" si="28"/>
        <v>0</v>
      </c>
      <c r="AD47">
        <f t="shared" si="29"/>
        <v>0</v>
      </c>
      <c r="AF47">
        <f t="shared" si="22"/>
        <v>0</v>
      </c>
      <c r="AG47" s="20" t="s">
        <v>117</v>
      </c>
      <c r="AH47">
        <f t="shared" si="36"/>
        <v>24</v>
      </c>
      <c r="AJ47">
        <f t="shared" si="16"/>
        <v>0</v>
      </c>
      <c r="AL47">
        <f t="shared" si="31"/>
        <v>0</v>
      </c>
    </row>
    <row r="48" spans="1:38" x14ac:dyDescent="0.2">
      <c r="A48" t="s">
        <v>323</v>
      </c>
      <c r="B48" s="22">
        <v>3</v>
      </c>
      <c r="D48">
        <f t="shared" si="23"/>
        <v>0</v>
      </c>
      <c r="N48">
        <f t="shared" si="24"/>
        <v>0</v>
      </c>
      <c r="T48">
        <f t="shared" si="25"/>
        <v>0</v>
      </c>
      <c r="V48">
        <f t="shared" si="21"/>
        <v>0</v>
      </c>
      <c r="AB48">
        <f t="shared" si="28"/>
        <v>0</v>
      </c>
      <c r="AD48">
        <f t="shared" si="29"/>
        <v>0</v>
      </c>
      <c r="AE48" s="20" t="s">
        <v>117</v>
      </c>
      <c r="AF48">
        <f t="shared" si="22"/>
        <v>3</v>
      </c>
      <c r="AH48">
        <f t="shared" si="36"/>
        <v>0</v>
      </c>
      <c r="AI48" s="20" t="s">
        <v>117</v>
      </c>
      <c r="AJ48">
        <f t="shared" si="16"/>
        <v>3</v>
      </c>
      <c r="AL48">
        <f t="shared" si="31"/>
        <v>0</v>
      </c>
    </row>
    <row r="49" spans="1:38" x14ac:dyDescent="0.2">
      <c r="A49" t="s">
        <v>324</v>
      </c>
      <c r="B49" s="22">
        <v>12</v>
      </c>
      <c r="D49">
        <f t="shared" si="23"/>
        <v>0</v>
      </c>
      <c r="N49">
        <f t="shared" si="24"/>
        <v>0</v>
      </c>
      <c r="T49">
        <f t="shared" si="25"/>
        <v>0</v>
      </c>
      <c r="V49">
        <f t="shared" si="21"/>
        <v>0</v>
      </c>
      <c r="AB49">
        <f t="shared" si="28"/>
        <v>0</v>
      </c>
      <c r="AD49">
        <f t="shared" si="29"/>
        <v>0</v>
      </c>
      <c r="AG49" s="20" t="s">
        <v>117</v>
      </c>
      <c r="AH49">
        <f t="shared" si="36"/>
        <v>12</v>
      </c>
      <c r="AJ49">
        <f t="shared" si="16"/>
        <v>0</v>
      </c>
      <c r="AL49">
        <f t="shared" si="31"/>
        <v>0</v>
      </c>
    </row>
    <row r="51" spans="1:38" x14ac:dyDescent="0.2">
      <c r="A51" s="16" t="s">
        <v>312</v>
      </c>
      <c r="B51" s="24"/>
      <c r="C51" s="18"/>
      <c r="D51" s="16">
        <f>SUM(D40:D50)</f>
        <v>34.5</v>
      </c>
      <c r="E51" s="16"/>
      <c r="F51" s="16">
        <f>SUM(F40:F50)</f>
        <v>22.5</v>
      </c>
      <c r="G51" s="16"/>
      <c r="H51" s="16">
        <f>SUM(H40:H50)</f>
        <v>22.5</v>
      </c>
      <c r="I51" s="16"/>
      <c r="J51" s="16">
        <f>SUM(J40:J50)</f>
        <v>34.5</v>
      </c>
      <c r="K51" s="16"/>
      <c r="L51" s="16">
        <f>SUM(L40:L50)</f>
        <v>0</v>
      </c>
      <c r="M51" s="16"/>
      <c r="N51" s="16">
        <f>SUM(N40:N50)</f>
        <v>0</v>
      </c>
      <c r="O51" s="16"/>
      <c r="P51" s="16">
        <f>SUM(P40:P50)</f>
        <v>34.5</v>
      </c>
      <c r="Q51" s="16"/>
      <c r="R51" s="16">
        <f>SUM(R40:R50)</f>
        <v>34.5</v>
      </c>
      <c r="S51" s="16"/>
      <c r="T51" s="16">
        <f>SUM(T40:T50)</f>
        <v>46.5</v>
      </c>
      <c r="U51" s="16"/>
      <c r="V51" s="16">
        <f>SUM(V40:V50)</f>
        <v>66</v>
      </c>
      <c r="W51" s="21"/>
      <c r="X51" s="16">
        <f>SUM(X40:X50)</f>
        <v>17</v>
      </c>
      <c r="Y51" s="21"/>
      <c r="Z51" s="16">
        <f>SUM(Z40:Z50)</f>
        <v>17</v>
      </c>
      <c r="AA51" s="21"/>
      <c r="AB51" s="16">
        <f>SUM(AB40:AB50)</f>
        <v>0</v>
      </c>
      <c r="AC51" s="16"/>
      <c r="AD51" s="16">
        <f>SUM(AD40:AD50)</f>
        <v>0</v>
      </c>
      <c r="AE51" s="16"/>
      <c r="AF51" s="16">
        <f>SUM(AF40:AF50)</f>
        <v>15</v>
      </c>
      <c r="AG51" s="21"/>
      <c r="AH51" s="16">
        <f>SUM(AH40:AH50)</f>
        <v>36</v>
      </c>
      <c r="AI51" s="21"/>
      <c r="AJ51" s="21">
        <f>SUM(AJ40:AJ50)</f>
        <v>15</v>
      </c>
      <c r="AK51" s="16"/>
      <c r="AL51" s="16">
        <f>SUM(AL40:AL50)</f>
        <v>0</v>
      </c>
    </row>
    <row r="52" spans="1:38" x14ac:dyDescent="0.2">
      <c r="AJ52">
        <f t="shared" si="16"/>
        <v>0</v>
      </c>
    </row>
    <row r="53" spans="1:38" x14ac:dyDescent="0.2">
      <c r="A53" s="1" t="s">
        <v>80</v>
      </c>
      <c r="AJ53">
        <f t="shared" si="16"/>
        <v>0</v>
      </c>
    </row>
    <row r="54" spans="1:38" x14ac:dyDescent="0.2">
      <c r="A54" t="s">
        <v>8</v>
      </c>
      <c r="B54" s="22">
        <v>0.1</v>
      </c>
      <c r="C54" s="17" t="s">
        <v>117</v>
      </c>
      <c r="D54">
        <f>IF(C54="x", $B54,0)</f>
        <v>0.1</v>
      </c>
      <c r="F54">
        <f>IF(E54="x", $B54,0)</f>
        <v>0</v>
      </c>
      <c r="H54">
        <f>IF(G54="x", $B54,0)</f>
        <v>0</v>
      </c>
      <c r="I54" s="20" t="s">
        <v>117</v>
      </c>
      <c r="J54">
        <f>IF(I54="x", $B54,0)</f>
        <v>0.1</v>
      </c>
      <c r="L54">
        <f>IF(K54="x", $B54,0)</f>
        <v>0</v>
      </c>
      <c r="N54">
        <f>IF(M54="x", $B54,0)</f>
        <v>0</v>
      </c>
      <c r="O54" s="20" t="s">
        <v>117</v>
      </c>
      <c r="P54">
        <f>IF(O54="x", $B54,0)</f>
        <v>0.1</v>
      </c>
      <c r="Q54" s="20" t="s">
        <v>117</v>
      </c>
      <c r="R54">
        <f>IF(Q54="x", $B54,0)</f>
        <v>0.1</v>
      </c>
      <c r="S54" s="20" t="s">
        <v>117</v>
      </c>
      <c r="T54">
        <f>IF(S54="x", $B54,0)</f>
        <v>0.1</v>
      </c>
      <c r="U54" s="20" t="s">
        <v>117</v>
      </c>
      <c r="V54">
        <f>IF(U54="x", $B54,0)</f>
        <v>0.1</v>
      </c>
      <c r="W54" s="20" t="s">
        <v>117</v>
      </c>
      <c r="X54">
        <f>IF(W54="x", $B54,0)</f>
        <v>0.1</v>
      </c>
      <c r="Y54" s="20" t="s">
        <v>117</v>
      </c>
      <c r="Z54">
        <f>IF(Y54="x", $B54,0)</f>
        <v>0.1</v>
      </c>
      <c r="AB54">
        <f>IF(AA54="x", $B54,0)</f>
        <v>0</v>
      </c>
      <c r="AD54">
        <f>IF(AC54="x", $B54,0)</f>
        <v>0</v>
      </c>
      <c r="AF54">
        <f t="shared" ref="AF54:AF58" si="37">IF(AE54="x", $B54,0)</f>
        <v>0</v>
      </c>
      <c r="AG54" s="20" t="s">
        <v>117</v>
      </c>
      <c r="AH54">
        <f t="shared" ref="AH54" si="38">IF(AG54="x", $B54,0)</f>
        <v>0.1</v>
      </c>
      <c r="AJ54">
        <f t="shared" si="16"/>
        <v>0</v>
      </c>
      <c r="AL54">
        <f>IF(AK54="x", $B54,0)</f>
        <v>0</v>
      </c>
    </row>
    <row r="55" spans="1:38" x14ac:dyDescent="0.2">
      <c r="A55" t="s">
        <v>11</v>
      </c>
      <c r="B55" s="22">
        <v>0.25</v>
      </c>
      <c r="C55" s="17" t="s">
        <v>117</v>
      </c>
      <c r="D55">
        <f>IF(C55="x", $B55,0)</f>
        <v>0.25</v>
      </c>
      <c r="E55" s="20" t="s">
        <v>117</v>
      </c>
      <c r="F55">
        <f>IF(E55="x", $B55,0)</f>
        <v>0.25</v>
      </c>
      <c r="G55" s="20" t="s">
        <v>117</v>
      </c>
      <c r="H55">
        <f>IF(G55="x", $B55,0)</f>
        <v>0.25</v>
      </c>
      <c r="I55" s="20" t="s">
        <v>117</v>
      </c>
      <c r="J55">
        <f>IF(I55="x", $B55,0)</f>
        <v>0.25</v>
      </c>
      <c r="K55" s="20" t="s">
        <v>117</v>
      </c>
      <c r="L55">
        <f>IF(K55="x", $B55,0)</f>
        <v>0.25</v>
      </c>
      <c r="M55" s="20" t="s">
        <v>117</v>
      </c>
      <c r="N55">
        <f>IF(M55="x", $B55,0)</f>
        <v>0.25</v>
      </c>
      <c r="O55" s="20" t="s">
        <v>117</v>
      </c>
      <c r="P55">
        <f>IF(O55="x", $B55,0)</f>
        <v>0.25</v>
      </c>
      <c r="Q55" s="20" t="s">
        <v>117</v>
      </c>
      <c r="R55">
        <f>IF(Q55="x", $B55,0)</f>
        <v>0.25</v>
      </c>
      <c r="S55" s="20" t="s">
        <v>117</v>
      </c>
      <c r="T55">
        <f>IF(S55="x", $B55,0)</f>
        <v>0.25</v>
      </c>
      <c r="U55" s="20" t="s">
        <v>117</v>
      </c>
      <c r="V55">
        <f>IF(U55="x", $B55,0)</f>
        <v>0.25</v>
      </c>
      <c r="W55" s="20" t="s">
        <v>117</v>
      </c>
      <c r="X55">
        <f>IF(W55="x", $B55,0)</f>
        <v>0.25</v>
      </c>
      <c r="Y55" s="20" t="s">
        <v>117</v>
      </c>
      <c r="Z55">
        <f>IF(Y55="x", $B55,0)</f>
        <v>0.25</v>
      </c>
      <c r="AA55" s="20" t="s">
        <v>117</v>
      </c>
      <c r="AB55">
        <f>IF(AA55="x", $B55,0)</f>
        <v>0.25</v>
      </c>
      <c r="AC55" s="20" t="s">
        <v>117</v>
      </c>
      <c r="AD55">
        <f t="shared" ref="AD55:AD58" si="39">IF(AC55="x", $B55,0)</f>
        <v>0.25</v>
      </c>
      <c r="AF55">
        <f t="shared" si="37"/>
        <v>0</v>
      </c>
      <c r="AH55">
        <f t="shared" ref="AH55" si="40">IF(AG55="x", $B55,0)</f>
        <v>0</v>
      </c>
      <c r="AJ55">
        <f t="shared" si="16"/>
        <v>0</v>
      </c>
      <c r="AL55">
        <f>IF(AK55="x", $B55,0)</f>
        <v>0</v>
      </c>
    </row>
    <row r="56" spans="1:38" x14ac:dyDescent="0.2">
      <c r="A56" t="s">
        <v>13</v>
      </c>
      <c r="B56" s="22">
        <v>0.1</v>
      </c>
      <c r="C56" s="17" t="s">
        <v>117</v>
      </c>
      <c r="D56">
        <f>IF(C56="x", $B56,0)</f>
        <v>0.1</v>
      </c>
      <c r="E56" s="20" t="s">
        <v>117</v>
      </c>
      <c r="F56">
        <f>IF(E56="x", $B56,0)</f>
        <v>0.1</v>
      </c>
      <c r="G56" s="20" t="s">
        <v>117</v>
      </c>
      <c r="H56">
        <f>IF(G56="x", $B56,0)</f>
        <v>0.1</v>
      </c>
      <c r="I56" s="20" t="s">
        <v>117</v>
      </c>
      <c r="J56">
        <f>IF(I56="x", $B56,0)</f>
        <v>0.1</v>
      </c>
      <c r="K56" s="20" t="s">
        <v>117</v>
      </c>
      <c r="L56">
        <f>IF(K56="x", $B56,0)</f>
        <v>0.1</v>
      </c>
      <c r="M56" s="20" t="s">
        <v>117</v>
      </c>
      <c r="N56">
        <f>IF(M56="x", $B56,0)</f>
        <v>0.1</v>
      </c>
      <c r="O56" s="20" t="s">
        <v>117</v>
      </c>
      <c r="P56">
        <f>IF(O56="x", $B56,0)</f>
        <v>0.1</v>
      </c>
      <c r="Q56" s="20" t="s">
        <v>117</v>
      </c>
      <c r="R56">
        <f>IF(Q56="x", $B56,0)</f>
        <v>0.1</v>
      </c>
      <c r="S56" s="20" t="s">
        <v>117</v>
      </c>
      <c r="T56">
        <f>IF(S56="x", $B56,0)</f>
        <v>0.1</v>
      </c>
      <c r="U56" s="20" t="s">
        <v>117</v>
      </c>
      <c r="V56">
        <f>IF(U56="x", $B56,0)</f>
        <v>0.1</v>
      </c>
      <c r="W56" s="20" t="s">
        <v>117</v>
      </c>
      <c r="X56">
        <f>IF(W56="x", $B56,0)</f>
        <v>0.1</v>
      </c>
      <c r="Y56" s="20" t="s">
        <v>117</v>
      </c>
      <c r="Z56">
        <f>IF(Y56="x", $B56,0)</f>
        <v>0.1</v>
      </c>
      <c r="AA56" s="20" t="s">
        <v>117</v>
      </c>
      <c r="AB56">
        <f>IF(AA56="x", $B56,0)</f>
        <v>0.1</v>
      </c>
      <c r="AC56" s="20" t="s">
        <v>117</v>
      </c>
      <c r="AD56">
        <f t="shared" si="39"/>
        <v>0.1</v>
      </c>
      <c r="AE56" s="20" t="s">
        <v>117</v>
      </c>
      <c r="AF56">
        <f t="shared" si="37"/>
        <v>0.1</v>
      </c>
      <c r="AG56" s="20" t="s">
        <v>117</v>
      </c>
      <c r="AH56">
        <f t="shared" ref="AH56" si="41">IF(AG56="x", $B56,0)</f>
        <v>0.1</v>
      </c>
      <c r="AI56" s="20" t="s">
        <v>117</v>
      </c>
      <c r="AJ56">
        <f t="shared" si="16"/>
        <v>0.1</v>
      </c>
      <c r="AK56" s="20" t="s">
        <v>117</v>
      </c>
      <c r="AL56">
        <f>IF(AK56="x", $B56,0)</f>
        <v>0.1</v>
      </c>
    </row>
    <row r="57" spans="1:38" x14ac:dyDescent="0.2">
      <c r="A57" t="s">
        <v>15</v>
      </c>
      <c r="B57" s="22">
        <v>0.25</v>
      </c>
      <c r="C57" s="17" t="s">
        <v>117</v>
      </c>
      <c r="D57">
        <f>IF(C57="x", $B57,0)</f>
        <v>0.25</v>
      </c>
      <c r="E57" s="20" t="s">
        <v>117</v>
      </c>
      <c r="F57">
        <f>IF(E57="x", $B57,0)</f>
        <v>0.25</v>
      </c>
      <c r="G57" s="20" t="s">
        <v>117</v>
      </c>
      <c r="H57">
        <f>IF(G57="x", $B57,0)</f>
        <v>0.25</v>
      </c>
      <c r="I57" s="20" t="s">
        <v>117</v>
      </c>
      <c r="J57">
        <f>IF(I57="x", $B57,0)</f>
        <v>0.25</v>
      </c>
      <c r="K57" s="20" t="s">
        <v>117</v>
      </c>
      <c r="L57">
        <f>IF(K57="x", $B57,0)</f>
        <v>0.25</v>
      </c>
      <c r="M57" s="20" t="s">
        <v>117</v>
      </c>
      <c r="N57">
        <f>IF(M57="x", $B57,0)</f>
        <v>0.25</v>
      </c>
      <c r="O57" s="20" t="s">
        <v>117</v>
      </c>
      <c r="P57">
        <f>IF(O57="x", $B57,0)</f>
        <v>0.25</v>
      </c>
      <c r="Q57" s="20" t="s">
        <v>117</v>
      </c>
      <c r="R57">
        <f>IF(Q57="x", $B57,0)</f>
        <v>0.25</v>
      </c>
      <c r="S57" s="20" t="s">
        <v>117</v>
      </c>
      <c r="T57">
        <f>IF(S57="x", $B57,0)</f>
        <v>0.25</v>
      </c>
      <c r="U57" s="20" t="s">
        <v>117</v>
      </c>
      <c r="V57">
        <f>IF(U57="x", $B57,0)</f>
        <v>0.25</v>
      </c>
      <c r="W57" s="20" t="s">
        <v>117</v>
      </c>
      <c r="X57">
        <f>IF(W57="x", $B57,0)</f>
        <v>0.25</v>
      </c>
      <c r="Y57" s="20" t="s">
        <v>117</v>
      </c>
      <c r="Z57">
        <f>IF(Y57="x", $B57,0)</f>
        <v>0.25</v>
      </c>
      <c r="AA57" s="20" t="s">
        <v>117</v>
      </c>
      <c r="AB57">
        <f>IF(AA57="x", $B57,0)</f>
        <v>0.25</v>
      </c>
      <c r="AC57" s="20" t="s">
        <v>117</v>
      </c>
      <c r="AD57">
        <f t="shared" si="39"/>
        <v>0.25</v>
      </c>
      <c r="AE57" s="20" t="s">
        <v>117</v>
      </c>
      <c r="AF57">
        <f t="shared" si="37"/>
        <v>0.25</v>
      </c>
      <c r="AH57">
        <f t="shared" ref="AH57" si="42">IF(AG57="x", $B57,0)</f>
        <v>0</v>
      </c>
      <c r="AI57" s="20" t="s">
        <v>117</v>
      </c>
      <c r="AJ57">
        <f t="shared" si="16"/>
        <v>0.25</v>
      </c>
      <c r="AK57" s="20" t="s">
        <v>117</v>
      </c>
      <c r="AL57">
        <f>IF(AK57="x", $B57,0)</f>
        <v>0.25</v>
      </c>
    </row>
    <row r="58" spans="1:38" x14ac:dyDescent="0.2">
      <c r="A58" t="s">
        <v>322</v>
      </c>
      <c r="B58" s="22">
        <v>1.5</v>
      </c>
      <c r="D58">
        <f>IF(C58="x", $B58,0)</f>
        <v>0</v>
      </c>
      <c r="F58">
        <f>IF(E58="x", $B58,0)</f>
        <v>0</v>
      </c>
      <c r="H58">
        <f>IF(G58="x", $B58,0)</f>
        <v>0</v>
      </c>
      <c r="V58">
        <f>IF(U58="x", $B58,0)</f>
        <v>0</v>
      </c>
      <c r="X58">
        <f>IF(W58="x", $B58,0)</f>
        <v>0</v>
      </c>
      <c r="Z58">
        <f>IF(Y58="x", $B58,0)</f>
        <v>0</v>
      </c>
      <c r="AB58">
        <f>IF(AA58="x", $B58,0)</f>
        <v>0</v>
      </c>
      <c r="AC58" s="20" t="s">
        <v>117</v>
      </c>
      <c r="AD58">
        <f t="shared" si="39"/>
        <v>1.5</v>
      </c>
      <c r="AF58">
        <f t="shared" si="37"/>
        <v>0</v>
      </c>
      <c r="AH58">
        <f t="shared" ref="AH58" si="43">IF(AG58="x", $B58,0)</f>
        <v>0</v>
      </c>
      <c r="AJ58">
        <f t="shared" si="16"/>
        <v>0</v>
      </c>
    </row>
    <row r="60" spans="1:38" x14ac:dyDescent="0.2">
      <c r="A60" s="16" t="s">
        <v>82</v>
      </c>
      <c r="B60" s="24"/>
      <c r="C60" s="18"/>
      <c r="D60" s="16">
        <f>SUM(D54:D59)</f>
        <v>0.7</v>
      </c>
      <c r="E60" s="16"/>
      <c r="F60" s="16">
        <f t="shared" ref="F60:T60" si="44">SUM(F54:F59)</f>
        <v>0.6</v>
      </c>
      <c r="G60" s="16"/>
      <c r="H60" s="16">
        <f t="shared" si="44"/>
        <v>0.6</v>
      </c>
      <c r="I60" s="16"/>
      <c r="J60" s="16">
        <f t="shared" si="44"/>
        <v>0.7</v>
      </c>
      <c r="K60" s="16"/>
      <c r="L60" s="16">
        <f t="shared" si="44"/>
        <v>0.6</v>
      </c>
      <c r="M60" s="16"/>
      <c r="N60" s="16">
        <f t="shared" si="44"/>
        <v>0.6</v>
      </c>
      <c r="O60" s="16"/>
      <c r="P60" s="16">
        <f t="shared" si="44"/>
        <v>0.7</v>
      </c>
      <c r="Q60" s="16"/>
      <c r="R60" s="16">
        <f t="shared" si="44"/>
        <v>0.7</v>
      </c>
      <c r="S60" s="16"/>
      <c r="T60" s="16">
        <f t="shared" si="44"/>
        <v>0.7</v>
      </c>
      <c r="U60" s="16"/>
      <c r="V60" s="16">
        <f t="shared" ref="V60:AJ60" si="45">SUM(V54:V59)</f>
        <v>0.7</v>
      </c>
      <c r="W60" s="21"/>
      <c r="X60" s="16">
        <f t="shared" si="45"/>
        <v>0.7</v>
      </c>
      <c r="Y60" s="21"/>
      <c r="Z60" s="16">
        <f t="shared" si="45"/>
        <v>0.7</v>
      </c>
      <c r="AA60" s="21"/>
      <c r="AB60" s="16">
        <f t="shared" si="45"/>
        <v>0.6</v>
      </c>
      <c r="AC60" s="16"/>
      <c r="AD60" s="16">
        <f t="shared" si="45"/>
        <v>2.1</v>
      </c>
      <c r="AE60" s="16"/>
      <c r="AF60" s="16">
        <f t="shared" si="45"/>
        <v>0.35</v>
      </c>
      <c r="AG60" s="21"/>
      <c r="AH60" s="16">
        <f t="shared" si="45"/>
        <v>0.2</v>
      </c>
      <c r="AI60" s="21"/>
      <c r="AJ60" s="21">
        <f t="shared" si="45"/>
        <v>0.35</v>
      </c>
      <c r="AK60" s="16"/>
      <c r="AL60" s="16">
        <f t="shared" ref="AL60" si="46">SUM(AL54:AL59)</f>
        <v>0.35</v>
      </c>
    </row>
  </sheetData>
  <autoFilter ref="A3:R30"/>
  <mergeCells count="16">
    <mergeCell ref="M2:N2"/>
    <mergeCell ref="AE2:AF2"/>
    <mergeCell ref="AG2:AH2"/>
    <mergeCell ref="AI2:AJ2"/>
    <mergeCell ref="Y2:Z2"/>
    <mergeCell ref="AA2:AB2"/>
    <mergeCell ref="C2:D2"/>
    <mergeCell ref="E2:F2"/>
    <mergeCell ref="G2:H2"/>
    <mergeCell ref="I2:J2"/>
    <mergeCell ref="K2:L2"/>
    <mergeCell ref="AK2:AL2"/>
    <mergeCell ref="U2:V2"/>
    <mergeCell ref="O2:P2"/>
    <mergeCell ref="Q2:R2"/>
    <mergeCell ref="AC2:AD2"/>
  </mergeCells>
  <pageMargins left="0.7" right="0.7" top="0.75" bottom="0.75" header="0.3" footer="0.3"/>
  <pageSetup paperSize="8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28"/>
  <sheetViews>
    <sheetView workbookViewId="0">
      <selection activeCell="C8" sqref="C8"/>
    </sheetView>
  </sheetViews>
  <sheetFormatPr baseColWidth="10" defaultColWidth="8.83203125" defaultRowHeight="15" x14ac:dyDescent="0.2"/>
  <cols>
    <col min="1" max="1" width="12.6640625" customWidth="1"/>
    <col min="2" max="2" width="43.1640625" customWidth="1"/>
    <col min="3" max="3" width="74.6640625" customWidth="1"/>
  </cols>
  <sheetData>
    <row r="1" spans="1:3" ht="42" customHeight="1" x14ac:dyDescent="0.3">
      <c r="A1" s="136" t="s">
        <v>61</v>
      </c>
      <c r="B1" s="135"/>
    </row>
    <row r="2" spans="1:3" ht="51" customHeight="1" x14ac:dyDescent="0.2"/>
    <row r="3" spans="1:3" s="5" customFormat="1" ht="39.75" customHeight="1" x14ac:dyDescent="0.2">
      <c r="A3" s="5" t="s">
        <v>33</v>
      </c>
      <c r="B3" s="5" t="s">
        <v>39</v>
      </c>
      <c r="C3" s="5" t="s">
        <v>34</v>
      </c>
    </row>
    <row r="4" spans="1:3" ht="63.75" customHeight="1" x14ac:dyDescent="0.2">
      <c r="A4" s="6" t="s">
        <v>46</v>
      </c>
      <c r="B4" s="6" t="s">
        <v>331</v>
      </c>
      <c r="C4" s="7" t="s">
        <v>332</v>
      </c>
    </row>
    <row r="5" spans="1:3" ht="54.75" customHeight="1" x14ac:dyDescent="0.2">
      <c r="A5" t="s">
        <v>47</v>
      </c>
      <c r="B5" t="s">
        <v>70</v>
      </c>
      <c r="C5" s="3" t="s">
        <v>333</v>
      </c>
    </row>
    <row r="6" spans="1:3" ht="54.75" customHeight="1" x14ac:dyDescent="0.2">
      <c r="A6" t="s">
        <v>48</v>
      </c>
      <c r="B6" s="2" t="s">
        <v>37</v>
      </c>
      <c r="C6" s="3" t="s">
        <v>342</v>
      </c>
    </row>
    <row r="7" spans="1:3" ht="53.25" customHeight="1" x14ac:dyDescent="0.2">
      <c r="A7" t="s">
        <v>55</v>
      </c>
      <c r="B7" s="2" t="s">
        <v>35</v>
      </c>
      <c r="C7" s="3" t="s">
        <v>71</v>
      </c>
    </row>
    <row r="8" spans="1:3" ht="54.75" customHeight="1" x14ac:dyDescent="0.2">
      <c r="A8" t="s">
        <v>56</v>
      </c>
      <c r="B8" t="s">
        <v>40</v>
      </c>
      <c r="C8" s="3" t="s">
        <v>41</v>
      </c>
    </row>
    <row r="9" spans="1:3" ht="60.75" customHeight="1" x14ac:dyDescent="0.2">
      <c r="A9" t="s">
        <v>57</v>
      </c>
      <c r="B9" t="s">
        <v>36</v>
      </c>
      <c r="C9" s="3" t="s">
        <v>334</v>
      </c>
    </row>
    <row r="10" spans="1:3" ht="54.75" customHeight="1" x14ac:dyDescent="0.2">
      <c r="A10" t="s">
        <v>58</v>
      </c>
      <c r="B10" s="2" t="s">
        <v>38</v>
      </c>
      <c r="C10" s="3" t="s">
        <v>429</v>
      </c>
    </row>
    <row r="11" spans="1:3" ht="63" customHeight="1" x14ac:dyDescent="0.2">
      <c r="A11" t="s">
        <v>59</v>
      </c>
      <c r="B11" s="2" t="s">
        <v>42</v>
      </c>
      <c r="C11" s="3" t="s">
        <v>43</v>
      </c>
    </row>
    <row r="12" spans="1:3" ht="63" customHeight="1" x14ac:dyDescent="0.2">
      <c r="A12" t="s">
        <v>110</v>
      </c>
      <c r="B12" s="2" t="s">
        <v>134</v>
      </c>
      <c r="C12" s="3" t="s">
        <v>135</v>
      </c>
    </row>
    <row r="13" spans="1:3" ht="63" customHeight="1" x14ac:dyDescent="0.2">
      <c r="A13" t="s">
        <v>260</v>
      </c>
      <c r="B13" t="s">
        <v>261</v>
      </c>
      <c r="C13" s="3" t="s">
        <v>335</v>
      </c>
    </row>
    <row r="14" spans="1:3" ht="63" customHeight="1" x14ac:dyDescent="0.2">
      <c r="A14" t="s">
        <v>426</v>
      </c>
      <c r="B14" t="s">
        <v>427</v>
      </c>
      <c r="C14" s="3" t="s">
        <v>428</v>
      </c>
    </row>
    <row r="15" spans="1:3" ht="77.25" customHeight="1" x14ac:dyDescent="0.2">
      <c r="A15" s="6" t="s">
        <v>276</v>
      </c>
      <c r="B15" s="6" t="s">
        <v>44</v>
      </c>
      <c r="C15" s="7" t="s">
        <v>45</v>
      </c>
    </row>
    <row r="16" spans="1:3" ht="60.75" customHeight="1" x14ac:dyDescent="0.2">
      <c r="A16" t="s">
        <v>268</v>
      </c>
      <c r="B16" s="2" t="s">
        <v>60</v>
      </c>
      <c r="C16" s="3" t="s">
        <v>336</v>
      </c>
    </row>
    <row r="17" spans="1:3" ht="36" customHeight="1" x14ac:dyDescent="0.2">
      <c r="A17" s="6" t="s">
        <v>63</v>
      </c>
      <c r="B17" s="6" t="s">
        <v>64</v>
      </c>
      <c r="C17" s="7" t="s">
        <v>65</v>
      </c>
    </row>
    <row r="18" spans="1:3" ht="40.5" customHeight="1" x14ac:dyDescent="0.2">
      <c r="A18" t="s">
        <v>277</v>
      </c>
      <c r="B18" t="s">
        <v>297</v>
      </c>
      <c r="C18" s="3" t="s">
        <v>311</v>
      </c>
    </row>
    <row r="19" spans="1:3" ht="39" customHeight="1" x14ac:dyDescent="0.2">
      <c r="A19" t="s">
        <v>287</v>
      </c>
      <c r="B19" t="s">
        <v>288</v>
      </c>
      <c r="C19" s="3" t="s">
        <v>337</v>
      </c>
    </row>
    <row r="20" spans="1:3" ht="39" customHeight="1" x14ac:dyDescent="0.2">
      <c r="A20" t="s">
        <v>289</v>
      </c>
      <c r="B20" t="s">
        <v>298</v>
      </c>
      <c r="C20" s="3" t="s">
        <v>338</v>
      </c>
    </row>
    <row r="21" spans="1:3" ht="39" customHeight="1" x14ac:dyDescent="0.2">
      <c r="A21" s="6" t="s">
        <v>62</v>
      </c>
      <c r="B21" s="6" t="s">
        <v>66</v>
      </c>
      <c r="C21" s="7" t="s">
        <v>67</v>
      </c>
    </row>
    <row r="22" spans="1:3" ht="39" customHeight="1" x14ac:dyDescent="0.2">
      <c r="A22" t="s">
        <v>278</v>
      </c>
      <c r="B22" t="s">
        <v>66</v>
      </c>
      <c r="C22" s="3" t="s">
        <v>339</v>
      </c>
    </row>
    <row r="23" spans="1:3" ht="39" customHeight="1" x14ac:dyDescent="0.2">
      <c r="A23" s="6" t="s">
        <v>328</v>
      </c>
      <c r="B23" s="6" t="s">
        <v>69</v>
      </c>
      <c r="C23" s="7" t="s">
        <v>68</v>
      </c>
    </row>
    <row r="24" spans="1:3" ht="39" customHeight="1" x14ac:dyDescent="0.2">
      <c r="A24" t="s">
        <v>279</v>
      </c>
      <c r="C24" s="3" t="s">
        <v>340</v>
      </c>
    </row>
    <row r="25" spans="1:3" s="6" customFormat="1" ht="39" customHeight="1" x14ac:dyDescent="0.2">
      <c r="A25" s="6" t="s">
        <v>295</v>
      </c>
      <c r="B25" s="6" t="s">
        <v>299</v>
      </c>
      <c r="C25" s="6" t="s">
        <v>296</v>
      </c>
    </row>
    <row r="26" spans="1:3" ht="71.25" customHeight="1" x14ac:dyDescent="0.2">
      <c r="A26" t="s">
        <v>295</v>
      </c>
      <c r="B26" t="s">
        <v>296</v>
      </c>
      <c r="C26" s="3" t="s">
        <v>341</v>
      </c>
    </row>
    <row r="27" spans="1:3" ht="39" customHeight="1" x14ac:dyDescent="0.2">
      <c r="A27" s="6" t="s">
        <v>326</v>
      </c>
      <c r="B27" s="6" t="s">
        <v>325</v>
      </c>
      <c r="C27" s="6" t="s">
        <v>327</v>
      </c>
    </row>
    <row r="28" spans="1:3" ht="60" customHeight="1" x14ac:dyDescent="0.2">
      <c r="A28" t="s">
        <v>314</v>
      </c>
      <c r="B28" t="s">
        <v>329</v>
      </c>
      <c r="C28" s="3" t="s">
        <v>330</v>
      </c>
    </row>
  </sheetData>
  <pageMargins left="0.7" right="0.7" top="0.75" bottom="0.75" header="0.3" footer="0.3"/>
  <pageSetup paperSize="8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I22"/>
  <sheetViews>
    <sheetView workbookViewId="0"/>
  </sheetViews>
  <sheetFormatPr baseColWidth="10" defaultColWidth="8.83203125" defaultRowHeight="15" x14ac:dyDescent="0.2"/>
  <cols>
    <col min="1" max="1" width="19.1640625" bestFit="1" customWidth="1"/>
  </cols>
  <sheetData>
    <row r="1" spans="1:9" x14ac:dyDescent="0.2">
      <c r="A1" t="s">
        <v>267</v>
      </c>
      <c r="E1" s="135" t="s">
        <v>400</v>
      </c>
      <c r="F1" s="135"/>
      <c r="G1" s="135"/>
      <c r="H1" s="135"/>
      <c r="I1" s="135"/>
    </row>
    <row r="2" spans="1:9" x14ac:dyDescent="0.2">
      <c r="A2" t="s">
        <v>446</v>
      </c>
    </row>
    <row r="3" spans="1:9" x14ac:dyDescent="0.2">
      <c r="A3" t="s">
        <v>447</v>
      </c>
    </row>
    <row r="4" spans="1:9" x14ac:dyDescent="0.2">
      <c r="A4" t="s">
        <v>448</v>
      </c>
    </row>
    <row r="5" spans="1:9" x14ac:dyDescent="0.2">
      <c r="A5" t="s">
        <v>449</v>
      </c>
    </row>
    <row r="6" spans="1:9" x14ac:dyDescent="0.2">
      <c r="A6" t="s">
        <v>450</v>
      </c>
    </row>
    <row r="7" spans="1:9" x14ac:dyDescent="0.2">
      <c r="A7" t="s">
        <v>451</v>
      </c>
    </row>
    <row r="8" spans="1:9" x14ac:dyDescent="0.2">
      <c r="A8" t="s">
        <v>452</v>
      </c>
    </row>
    <row r="9" spans="1:9" x14ac:dyDescent="0.2">
      <c r="A9" t="s">
        <v>453</v>
      </c>
    </row>
    <row r="10" spans="1:9" x14ac:dyDescent="0.2">
      <c r="A10" t="s">
        <v>454</v>
      </c>
    </row>
    <row r="11" spans="1:9" x14ac:dyDescent="0.2">
      <c r="A11" t="s">
        <v>455</v>
      </c>
    </row>
    <row r="12" spans="1:9" x14ac:dyDescent="0.2">
      <c r="A12" t="s">
        <v>456</v>
      </c>
    </row>
    <row r="13" spans="1:9" x14ac:dyDescent="0.2">
      <c r="A13" t="s">
        <v>457</v>
      </c>
    </row>
    <row r="14" spans="1:9" x14ac:dyDescent="0.2">
      <c r="A14" t="s">
        <v>458</v>
      </c>
    </row>
    <row r="15" spans="1:9" x14ac:dyDescent="0.2">
      <c r="A15" t="s">
        <v>459</v>
      </c>
    </row>
    <row r="16" spans="1:9" x14ac:dyDescent="0.2">
      <c r="A16" t="s">
        <v>460</v>
      </c>
    </row>
    <row r="17" spans="1:1" x14ac:dyDescent="0.2">
      <c r="A17" t="s">
        <v>461</v>
      </c>
    </row>
    <row r="18" spans="1:1" x14ac:dyDescent="0.2">
      <c r="A18" t="s">
        <v>462</v>
      </c>
    </row>
    <row r="19" spans="1:1" x14ac:dyDescent="0.2">
      <c r="A19" t="s">
        <v>463</v>
      </c>
    </row>
    <row r="20" spans="1:1" x14ac:dyDescent="0.2">
      <c r="A20" t="s">
        <v>464</v>
      </c>
    </row>
    <row r="21" spans="1:1" x14ac:dyDescent="0.2">
      <c r="A21" t="s">
        <v>465</v>
      </c>
    </row>
    <row r="22" spans="1:1" x14ac:dyDescent="0.2">
      <c r="A22" t="s">
        <v>301</v>
      </c>
    </row>
  </sheetData>
  <sortState ref="A2:A22">
    <sortCondition ref="A2:A2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70"/>
  <sheetViews>
    <sheetView workbookViewId="0"/>
  </sheetViews>
  <sheetFormatPr baseColWidth="10" defaultColWidth="8.83203125" defaultRowHeight="15" x14ac:dyDescent="0.2"/>
  <cols>
    <col min="10" max="10" width="22" customWidth="1"/>
  </cols>
  <sheetData>
    <row r="1" spans="1:10" x14ac:dyDescent="0.2">
      <c r="A1" s="135" t="s">
        <v>399</v>
      </c>
      <c r="B1" s="135"/>
      <c r="C1" s="135"/>
      <c r="J1" t="s">
        <v>361</v>
      </c>
    </row>
    <row r="2" spans="1:10" x14ac:dyDescent="0.2">
      <c r="J2" s="87" t="s">
        <v>371</v>
      </c>
    </row>
    <row r="3" spans="1:10" x14ac:dyDescent="0.2">
      <c r="J3" s="9">
        <f>IF(I3="Staff",LOOKUP(F3,'Pattern lookup'!$A$4:$A$29,'Pattern lookup'!$D$4:$D$17),0)</f>
        <v>0</v>
      </c>
    </row>
    <row r="4" spans="1:10" x14ac:dyDescent="0.2">
      <c r="J4" s="9">
        <f>IF(I4="Staff",LOOKUP(F4,'Pattern lookup'!$A$4:$A$29,'Pattern lookup'!$D$4:$D$17),0)</f>
        <v>0</v>
      </c>
    </row>
    <row r="5" spans="1:10" x14ac:dyDescent="0.2">
      <c r="J5" s="9">
        <f>IF(I5="Staff",LOOKUP(F5,'Pattern lookup'!$A$4:$A$29,'Pattern lookup'!$D$4:$D$17),0)</f>
        <v>0</v>
      </c>
    </row>
    <row r="6" spans="1:10" x14ac:dyDescent="0.2">
      <c r="J6" s="9">
        <f>IF(I6="Staff",LOOKUP(F6,'Pattern lookup'!$A$4:$A$29,'Pattern lookup'!$D$4:$D$17),0)</f>
        <v>0</v>
      </c>
    </row>
    <row r="7" spans="1:10" x14ac:dyDescent="0.2">
      <c r="J7" s="9">
        <f>IF(I7="Staff",LOOKUP(F7,'Pattern lookup'!$A$4:$A$29,'Pattern lookup'!$D$4:$D$17),0)</f>
        <v>0</v>
      </c>
    </row>
    <row r="8" spans="1:10" x14ac:dyDescent="0.2">
      <c r="J8" s="9">
        <f>IF(I8="Staff",LOOKUP(F8,'Pattern lookup'!$A$4:$A$29,'Pattern lookup'!$D$4:$D$17),0)</f>
        <v>0</v>
      </c>
    </row>
    <row r="9" spans="1:10" x14ac:dyDescent="0.2">
      <c r="J9" s="9">
        <f>IF(I9="Staff",LOOKUP(F9,'Pattern lookup'!$A$4:$A$29,'Pattern lookup'!$D$4:$D$17),0)</f>
        <v>0</v>
      </c>
    </row>
    <row r="10" spans="1:10" x14ac:dyDescent="0.2">
      <c r="J10" s="9">
        <f>IF(I10="Staff",LOOKUP(F10,'Pattern lookup'!$A$4:$A$29,'Pattern lookup'!$D$4:$D$17),0)</f>
        <v>0</v>
      </c>
    </row>
    <row r="11" spans="1:10" x14ac:dyDescent="0.2">
      <c r="J11" s="9">
        <f>IF(I11="Staff",LOOKUP(F11,'Pattern lookup'!$A$4:$A$29,'Pattern lookup'!$D$4:$D$17),0)</f>
        <v>0</v>
      </c>
    </row>
    <row r="12" spans="1:10" x14ac:dyDescent="0.2">
      <c r="J12" s="9">
        <f>IF(I12="Staff",LOOKUP(F12,'Pattern lookup'!$A$4:$A$29,'Pattern lookup'!$D$4:$D$17),0)</f>
        <v>0</v>
      </c>
    </row>
    <row r="13" spans="1:10" x14ac:dyDescent="0.2">
      <c r="J13" s="9">
        <f>IF(I13="Staff",LOOKUP(F13,'Pattern lookup'!$A$4:$A$29,'Pattern lookup'!$D$4:$D$17),0)</f>
        <v>0</v>
      </c>
    </row>
    <row r="14" spans="1:10" x14ac:dyDescent="0.2">
      <c r="J14" s="9">
        <f>IF(I14="Staff",LOOKUP(F14,'Pattern lookup'!$A$4:$A$29,'Pattern lookup'!$D$4:$D$17),0)</f>
        <v>0</v>
      </c>
    </row>
    <row r="15" spans="1:10" x14ac:dyDescent="0.2">
      <c r="J15" s="9">
        <f>IF(I15="Staff",LOOKUP(F15,'Pattern lookup'!$A$4:$A$29,'Pattern lookup'!$D$4:$D$17),0)</f>
        <v>0</v>
      </c>
    </row>
    <row r="16" spans="1:10" x14ac:dyDescent="0.2">
      <c r="J16" s="9">
        <f>IF(I16="Staff",LOOKUP(F16,'Pattern lookup'!$A$4:$A$29,'Pattern lookup'!$D$4:$D$17),0)</f>
        <v>0</v>
      </c>
    </row>
    <row r="17" spans="10:10" x14ac:dyDescent="0.2">
      <c r="J17" s="9">
        <f>IF(I17="Staff",LOOKUP(F17,'Pattern lookup'!$A$4:$A$29,'Pattern lookup'!$D$4:$D$17),0)</f>
        <v>0</v>
      </c>
    </row>
    <row r="18" spans="10:10" x14ac:dyDescent="0.2">
      <c r="J18" s="9">
        <f>IF(I18="Staff",LOOKUP(F18,'Pattern lookup'!$A$4:$A$29,'Pattern lookup'!$D$4:$D$17),0)</f>
        <v>0</v>
      </c>
    </row>
    <row r="19" spans="10:10" x14ac:dyDescent="0.2">
      <c r="J19" s="9">
        <f>IF(I19="Staff",LOOKUP(F19,'Pattern lookup'!$A$4:$A$29,'Pattern lookup'!$D$4:$D$17),0)</f>
        <v>0</v>
      </c>
    </row>
    <row r="20" spans="10:10" x14ac:dyDescent="0.2">
      <c r="J20" s="9">
        <f>IF(I20="Staff",LOOKUP(F20,'Pattern lookup'!$A$4:$A$29,'Pattern lookup'!$D$4:$D$17),0)</f>
        <v>0</v>
      </c>
    </row>
    <row r="21" spans="10:10" x14ac:dyDescent="0.2">
      <c r="J21" s="9">
        <f>IF(I21="Staff",LOOKUP(F21,'Pattern lookup'!$A$4:$A$29,'Pattern lookup'!$D$4:$D$17),0)</f>
        <v>0</v>
      </c>
    </row>
    <row r="22" spans="10:10" x14ac:dyDescent="0.2">
      <c r="J22" s="9">
        <f>IF(I22="Staff",LOOKUP(F22,'Pattern lookup'!$A$4:$A$29,'Pattern lookup'!$D$4:$D$17),0)</f>
        <v>0</v>
      </c>
    </row>
    <row r="23" spans="10:10" x14ac:dyDescent="0.2">
      <c r="J23" s="9">
        <f>IF(I23="Staff",LOOKUP(F23,'Pattern lookup'!$A$4:$A$29,'Pattern lookup'!$D$4:$D$17),0)</f>
        <v>0</v>
      </c>
    </row>
    <row r="24" spans="10:10" x14ac:dyDescent="0.2">
      <c r="J24" s="9">
        <f>IF(I24="Staff",LOOKUP(F24,'Pattern lookup'!$A$4:$A$29,'Pattern lookup'!$D$4:$D$17),0)</f>
        <v>0</v>
      </c>
    </row>
    <row r="25" spans="10:10" x14ac:dyDescent="0.2">
      <c r="J25" s="9">
        <f>IF(I25="Staff",LOOKUP(F25,'Pattern lookup'!$A$4:$A$29,'Pattern lookup'!$D$4:$D$17),0)</f>
        <v>0</v>
      </c>
    </row>
    <row r="26" spans="10:10" x14ac:dyDescent="0.2">
      <c r="J26" s="9">
        <f>IF(I26="Staff",LOOKUP(F26,'Pattern lookup'!$A$4:$A$29,'Pattern lookup'!$D$4:$D$17),0)</f>
        <v>0</v>
      </c>
    </row>
    <row r="27" spans="10:10" x14ac:dyDescent="0.2">
      <c r="J27" s="9">
        <f>IF(I27="Staff",LOOKUP(F27,'Pattern lookup'!$A$4:$A$29,'Pattern lookup'!$D$4:$D$17),0)</f>
        <v>0</v>
      </c>
    </row>
    <row r="28" spans="10:10" x14ac:dyDescent="0.2">
      <c r="J28" s="9">
        <f>IF(I28="Staff",LOOKUP(F28,'Pattern lookup'!$A$4:$A$29,'Pattern lookup'!$D$4:$D$17),0)</f>
        <v>0</v>
      </c>
    </row>
    <row r="29" spans="10:10" x14ac:dyDescent="0.2">
      <c r="J29" s="9">
        <f>IF(I29="Staff",LOOKUP(F29,'Pattern lookup'!$A$4:$A$29,'Pattern lookup'!$D$4:$D$17),0)</f>
        <v>0</v>
      </c>
    </row>
    <row r="30" spans="10:10" x14ac:dyDescent="0.2">
      <c r="J30" s="9">
        <f>IF(I30="Staff",LOOKUP(F30,'Pattern lookup'!$A$4:$A$29,'Pattern lookup'!$D$4:$D$17),0)</f>
        <v>0</v>
      </c>
    </row>
    <row r="31" spans="10:10" x14ac:dyDescent="0.2">
      <c r="J31" s="9">
        <f>IF(I31="Staff",LOOKUP(F31,'Pattern lookup'!$A$4:$A$29,'Pattern lookup'!$D$4:$D$17),0)</f>
        <v>0</v>
      </c>
    </row>
    <row r="32" spans="10:10" x14ac:dyDescent="0.2">
      <c r="J32" s="9">
        <f>IF(I32="Staff",LOOKUP(F32,'Pattern lookup'!$A$4:$A$29,'Pattern lookup'!$D$4:$D$17),0)</f>
        <v>0</v>
      </c>
    </row>
    <row r="33" spans="10:10" x14ac:dyDescent="0.2">
      <c r="J33" s="9">
        <f>IF(I33="Staff",LOOKUP(F33,'Pattern lookup'!$A$4:$A$29,'Pattern lookup'!$D$4:$D$17),0)</f>
        <v>0</v>
      </c>
    </row>
    <row r="34" spans="10:10" x14ac:dyDescent="0.2">
      <c r="J34" s="9">
        <f>IF(I34="Staff",LOOKUP(F34,'Pattern lookup'!$A$4:$A$29,'Pattern lookup'!$D$4:$D$17),0)</f>
        <v>0</v>
      </c>
    </row>
    <row r="35" spans="10:10" x14ac:dyDescent="0.2">
      <c r="J35" s="9">
        <f>IF(I35="Staff",LOOKUP(F35,'Pattern lookup'!$A$4:$A$29,'Pattern lookup'!$D$4:$D$17),0)</f>
        <v>0</v>
      </c>
    </row>
    <row r="36" spans="10:10" x14ac:dyDescent="0.2">
      <c r="J36" s="9">
        <f>IF(I36="Staff",LOOKUP(F36,'Pattern lookup'!$A$4:$A$29,'Pattern lookup'!$D$4:$D$17),0)</f>
        <v>0</v>
      </c>
    </row>
    <row r="37" spans="10:10" x14ac:dyDescent="0.2">
      <c r="J37" s="9">
        <f>IF(I37="Staff",LOOKUP(F37,'Pattern lookup'!$A$4:$A$29,'Pattern lookup'!$D$4:$D$17),0)</f>
        <v>0</v>
      </c>
    </row>
    <row r="38" spans="10:10" x14ac:dyDescent="0.2">
      <c r="J38" s="9">
        <f>IF(I38="Staff",LOOKUP(F38,'Pattern lookup'!$A$4:$A$29,'Pattern lookup'!$D$4:$D$17),0)</f>
        <v>0</v>
      </c>
    </row>
    <row r="39" spans="10:10" x14ac:dyDescent="0.2">
      <c r="J39" s="9">
        <f>IF(I39="Staff",LOOKUP(F39,'Pattern lookup'!$A$4:$A$29,'Pattern lookup'!$D$4:$D$17),0)</f>
        <v>0</v>
      </c>
    </row>
    <row r="40" spans="10:10" x14ac:dyDescent="0.2">
      <c r="J40" s="9">
        <f>IF(I40="Staff",LOOKUP(F40,'Pattern lookup'!$A$4:$A$29,'Pattern lookup'!$D$4:$D$17),0)</f>
        <v>0</v>
      </c>
    </row>
    <row r="41" spans="10:10" x14ac:dyDescent="0.2">
      <c r="J41" s="9">
        <f>IF(I41="Staff",LOOKUP(F41,'Pattern lookup'!$A$4:$A$29,'Pattern lookup'!$D$4:$D$17),0)</f>
        <v>0</v>
      </c>
    </row>
    <row r="42" spans="10:10" x14ac:dyDescent="0.2">
      <c r="J42" s="9">
        <f>IF(I42="Staff",LOOKUP(F42,'Pattern lookup'!$A$4:$A$29,'Pattern lookup'!$D$4:$D$17),0)</f>
        <v>0</v>
      </c>
    </row>
    <row r="43" spans="10:10" x14ac:dyDescent="0.2">
      <c r="J43" s="9">
        <f>IF(I43="Staff",LOOKUP(F43,'Pattern lookup'!$A$4:$A$29,'Pattern lookup'!$D$4:$D$17),0)</f>
        <v>0</v>
      </c>
    </row>
    <row r="44" spans="10:10" x14ac:dyDescent="0.2">
      <c r="J44" s="9">
        <f>IF(I44="Staff",LOOKUP(F44,'Pattern lookup'!$A$4:$A$29,'Pattern lookup'!$D$4:$D$17),0)</f>
        <v>0</v>
      </c>
    </row>
    <row r="45" spans="10:10" x14ac:dyDescent="0.2">
      <c r="J45" s="9">
        <f>IF(I45="Staff",LOOKUP(F45,'Pattern lookup'!$A$4:$A$29,'Pattern lookup'!$D$4:$D$17),0)</f>
        <v>0</v>
      </c>
    </row>
    <row r="46" spans="10:10" x14ac:dyDescent="0.2">
      <c r="J46" s="9">
        <f>IF(I46="Staff",LOOKUP(F46,'Pattern lookup'!$A$4:$A$29,'Pattern lookup'!$D$4:$D$17),0)</f>
        <v>0</v>
      </c>
    </row>
    <row r="47" spans="10:10" x14ac:dyDescent="0.2">
      <c r="J47" s="9">
        <f>IF(I47="Staff",LOOKUP(F47,'Pattern lookup'!$A$4:$A$29,'Pattern lookup'!$D$4:$D$17),0)</f>
        <v>0</v>
      </c>
    </row>
    <row r="48" spans="10:10" x14ac:dyDescent="0.2">
      <c r="J48" s="9">
        <f>IF(I48="Staff",LOOKUP(F48,'Pattern lookup'!$A$4:$A$29,'Pattern lookup'!$D$4:$D$17),0)</f>
        <v>0</v>
      </c>
    </row>
    <row r="49" spans="10:10" x14ac:dyDescent="0.2">
      <c r="J49" s="9">
        <f>IF(I49="Staff",LOOKUP(F49,'Pattern lookup'!$A$4:$A$29,'Pattern lookup'!$D$4:$D$17),0)</f>
        <v>0</v>
      </c>
    </row>
    <row r="50" spans="10:10" x14ac:dyDescent="0.2">
      <c r="J50" s="9">
        <f>IF(I50="Staff",LOOKUP(F50,'Pattern lookup'!$A$4:$A$29,'Pattern lookup'!$D$4:$D$17),0)</f>
        <v>0</v>
      </c>
    </row>
    <row r="51" spans="10:10" x14ac:dyDescent="0.2">
      <c r="J51" s="9">
        <f>IF(I51="Staff",LOOKUP(F51,'Pattern lookup'!$A$4:$A$29,'Pattern lookup'!$D$4:$D$17),0)</f>
        <v>0</v>
      </c>
    </row>
    <row r="52" spans="10:10" x14ac:dyDescent="0.2">
      <c r="J52" s="9">
        <f>IF(I52="Staff",LOOKUP(F52,'Pattern lookup'!$A$4:$A$29,'Pattern lookup'!$D$4:$D$17),0)</f>
        <v>0</v>
      </c>
    </row>
    <row r="53" spans="10:10" x14ac:dyDescent="0.2">
      <c r="J53" s="9">
        <f>IF(I53="Staff",LOOKUP(F53,'Pattern lookup'!$A$4:$A$29,'Pattern lookup'!$D$4:$D$17),0)</f>
        <v>0</v>
      </c>
    </row>
    <row r="54" spans="10:10" x14ac:dyDescent="0.2">
      <c r="J54" s="9">
        <f>IF(I54="Staff",LOOKUP(F54,'Pattern lookup'!$A$4:$A$29,'Pattern lookup'!$D$4:$D$17),0)</f>
        <v>0</v>
      </c>
    </row>
    <row r="55" spans="10:10" x14ac:dyDescent="0.2">
      <c r="J55" s="9">
        <f>IF(I55="Staff",LOOKUP(F55,'Pattern lookup'!$A$4:$A$29,'Pattern lookup'!$D$4:$D$17),0)</f>
        <v>0</v>
      </c>
    </row>
    <row r="56" spans="10:10" x14ac:dyDescent="0.2">
      <c r="J56" s="9">
        <f>IF(I56="Staff",LOOKUP(F56,'Pattern lookup'!$A$4:$A$29,'Pattern lookup'!$D$4:$D$17),0)</f>
        <v>0</v>
      </c>
    </row>
    <row r="57" spans="10:10" x14ac:dyDescent="0.2">
      <c r="J57" s="9">
        <f>IF(I57="Staff",LOOKUP(F57,'Pattern lookup'!$A$4:$A$29,'Pattern lookup'!$D$4:$D$17),0)</f>
        <v>0</v>
      </c>
    </row>
    <row r="58" spans="10:10" x14ac:dyDescent="0.2">
      <c r="J58" s="9">
        <f>IF(I58="Staff",LOOKUP(F58,'Pattern lookup'!$A$4:$A$29,'Pattern lookup'!$D$4:$D$17),0)</f>
        <v>0</v>
      </c>
    </row>
    <row r="59" spans="10:10" x14ac:dyDescent="0.2">
      <c r="J59" s="9">
        <f>IF(I59="Staff",LOOKUP(F59,'Pattern lookup'!$A$4:$A$29,'Pattern lookup'!$D$4:$D$17),0)</f>
        <v>0</v>
      </c>
    </row>
    <row r="60" spans="10:10" x14ac:dyDescent="0.2">
      <c r="J60" s="9">
        <f>IF(I60="Staff",LOOKUP(F60,'Pattern lookup'!$A$4:$A$29,'Pattern lookup'!$D$4:$D$17),0)</f>
        <v>0</v>
      </c>
    </row>
    <row r="61" spans="10:10" x14ac:dyDescent="0.2">
      <c r="J61" s="9">
        <f>IF(I61="Staff",LOOKUP(F61,'Pattern lookup'!$A$4:$A$29,'Pattern lookup'!$D$4:$D$17),0)</f>
        <v>0</v>
      </c>
    </row>
    <row r="62" spans="10:10" x14ac:dyDescent="0.2">
      <c r="J62" s="9">
        <f>IF(I62="Staff",LOOKUP(F62,'Pattern lookup'!$A$4:$A$29,'Pattern lookup'!$D$4:$D$17),0)</f>
        <v>0</v>
      </c>
    </row>
    <row r="63" spans="10:10" x14ac:dyDescent="0.2">
      <c r="J63" s="9">
        <f>IF(I63="Staff",LOOKUP(F63,'Pattern lookup'!$A$4:$A$29,'Pattern lookup'!$D$4:$D$17),0)</f>
        <v>0</v>
      </c>
    </row>
    <row r="64" spans="10:10" x14ac:dyDescent="0.2">
      <c r="J64" s="9">
        <f>IF(I64="Staff",LOOKUP(F64,'Pattern lookup'!$A$4:$A$29,'Pattern lookup'!$D$4:$D$17),0)</f>
        <v>0</v>
      </c>
    </row>
    <row r="65" spans="10:10" x14ac:dyDescent="0.2">
      <c r="J65" s="9">
        <f>IF(I65="Staff",LOOKUP(F65,'Pattern lookup'!$A$4:$A$29,'Pattern lookup'!$D$4:$D$17),0)</f>
        <v>0</v>
      </c>
    </row>
    <row r="66" spans="10:10" x14ac:dyDescent="0.2">
      <c r="J66" s="9">
        <f>IF(I66="Staff",LOOKUP(F66,'Pattern lookup'!$A$4:$A$29,'Pattern lookup'!$D$4:$D$17),0)</f>
        <v>0</v>
      </c>
    </row>
    <row r="67" spans="10:10" x14ac:dyDescent="0.2">
      <c r="J67" s="9">
        <f>IF(I67="Staff",LOOKUP(F67,'Pattern lookup'!$A$4:$A$29,'Pattern lookup'!$D$4:$D$17),0)</f>
        <v>0</v>
      </c>
    </row>
    <row r="68" spans="10:10" x14ac:dyDescent="0.2">
      <c r="J68" s="9">
        <f>IF(I68="Staff",LOOKUP(F68,'Pattern lookup'!$A$4:$A$29,'Pattern lookup'!$D$4:$D$17),0)</f>
        <v>0</v>
      </c>
    </row>
    <row r="69" spans="10:10" x14ac:dyDescent="0.2">
      <c r="J69" s="9">
        <f>IF(I69="Staff",LOOKUP(F69,'Pattern lookup'!$A$4:$A$29,'Pattern lookup'!$D$4:$D$17),0)</f>
        <v>0</v>
      </c>
    </row>
    <row r="70" spans="10:10" x14ac:dyDescent="0.2">
      <c r="J70" s="9">
        <f>IF(I70="Staff",LOOKUP(F70,'Pattern lookup'!$A$4:$A$29,'Pattern lookup'!$D$4:$D$17),0)</f>
        <v>0</v>
      </c>
    </row>
    <row r="71" spans="10:10" x14ac:dyDescent="0.2">
      <c r="J71" s="9">
        <f>IF(I71="Staff",LOOKUP(F71,'Pattern lookup'!$A$4:$A$29,'Pattern lookup'!$D$4:$D$17),0)</f>
        <v>0</v>
      </c>
    </row>
    <row r="72" spans="10:10" x14ac:dyDescent="0.2">
      <c r="J72" s="9">
        <f>IF(I72="Staff",LOOKUP(F72,'Pattern lookup'!$A$4:$A$29,'Pattern lookup'!$D$4:$D$17),0)</f>
        <v>0</v>
      </c>
    </row>
    <row r="73" spans="10:10" x14ac:dyDescent="0.2">
      <c r="J73" s="9">
        <f>IF(I73="Staff",LOOKUP(F73,'Pattern lookup'!$A$4:$A$29,'Pattern lookup'!$D$4:$D$17),0)</f>
        <v>0</v>
      </c>
    </row>
    <row r="74" spans="10:10" x14ac:dyDescent="0.2">
      <c r="J74" s="9">
        <f>IF(I74="Staff",LOOKUP(F74,'Pattern lookup'!$A$4:$A$29,'Pattern lookup'!$D$4:$D$17),0)</f>
        <v>0</v>
      </c>
    </row>
    <row r="75" spans="10:10" x14ac:dyDescent="0.2">
      <c r="J75" s="9">
        <f>IF(I75="Staff",LOOKUP(F75,'Pattern lookup'!$A$4:$A$29,'Pattern lookup'!$D$4:$D$17),0)</f>
        <v>0</v>
      </c>
    </row>
    <row r="76" spans="10:10" x14ac:dyDescent="0.2">
      <c r="J76" s="9">
        <f>IF(I76="Staff",LOOKUP(F76,'Pattern lookup'!$A$4:$A$29,'Pattern lookup'!$D$4:$D$17),0)</f>
        <v>0</v>
      </c>
    </row>
    <row r="77" spans="10:10" x14ac:dyDescent="0.2">
      <c r="J77" s="9">
        <f>IF(I77="Staff",LOOKUP(F77,'Pattern lookup'!$A$4:$A$29,'Pattern lookup'!$D$4:$D$17),0)</f>
        <v>0</v>
      </c>
    </row>
    <row r="78" spans="10:10" x14ac:dyDescent="0.2">
      <c r="J78" s="9">
        <f>IF(I78="Staff",LOOKUP(F78,'Pattern lookup'!$A$4:$A$29,'Pattern lookup'!$D$4:$D$17),0)</f>
        <v>0</v>
      </c>
    </row>
    <row r="79" spans="10:10" x14ac:dyDescent="0.2">
      <c r="J79" s="9">
        <f>IF(I79="Staff",LOOKUP(F79,'Pattern lookup'!$A$4:$A$29,'Pattern lookup'!$D$4:$D$17),0)</f>
        <v>0</v>
      </c>
    </row>
    <row r="80" spans="10:10" x14ac:dyDescent="0.2">
      <c r="J80" s="9">
        <f>IF(I80="Staff",LOOKUP(F80,'Pattern lookup'!$A$4:$A$29,'Pattern lookup'!$D$4:$D$17),0)</f>
        <v>0</v>
      </c>
    </row>
    <row r="81" spans="10:10" x14ac:dyDescent="0.2">
      <c r="J81" s="9">
        <f>IF(I81="Staff",LOOKUP(F81,'Pattern lookup'!$A$4:$A$29,'Pattern lookup'!$D$4:$D$17),0)</f>
        <v>0</v>
      </c>
    </row>
    <row r="82" spans="10:10" x14ac:dyDescent="0.2">
      <c r="J82" s="9">
        <f>IF(I82="Staff",LOOKUP(F82,'Pattern lookup'!$A$4:$A$29,'Pattern lookup'!$D$4:$D$17),0)</f>
        <v>0</v>
      </c>
    </row>
    <row r="83" spans="10:10" x14ac:dyDescent="0.2">
      <c r="J83" s="9">
        <f>IF(I83="Staff",LOOKUP(F83,'Pattern lookup'!$A$4:$A$29,'Pattern lookup'!$D$4:$D$17),0)</f>
        <v>0</v>
      </c>
    </row>
    <row r="84" spans="10:10" x14ac:dyDescent="0.2">
      <c r="J84" s="9">
        <f>IF(I84="Staff",LOOKUP(F84,'Pattern lookup'!$A$4:$A$29,'Pattern lookup'!$D$4:$D$17),0)</f>
        <v>0</v>
      </c>
    </row>
    <row r="85" spans="10:10" x14ac:dyDescent="0.2">
      <c r="J85" s="9">
        <f>IF(I85="Staff",LOOKUP(F85,'Pattern lookup'!$A$4:$A$29,'Pattern lookup'!$D$4:$D$17),0)</f>
        <v>0</v>
      </c>
    </row>
    <row r="86" spans="10:10" x14ac:dyDescent="0.2">
      <c r="J86" s="9">
        <f>IF(I86="Staff",LOOKUP(F86,'Pattern lookup'!$A$4:$A$29,'Pattern lookup'!$D$4:$D$17),0)</f>
        <v>0</v>
      </c>
    </row>
    <row r="87" spans="10:10" x14ac:dyDescent="0.2">
      <c r="J87" s="9">
        <f>IF(I87="Staff",LOOKUP(F87,'Pattern lookup'!$A$4:$A$29,'Pattern lookup'!$D$4:$D$17),0)</f>
        <v>0</v>
      </c>
    </row>
    <row r="88" spans="10:10" x14ac:dyDescent="0.2">
      <c r="J88" s="9">
        <f>IF(I88="Staff",LOOKUP(F88,'Pattern lookup'!$A$4:$A$29,'Pattern lookup'!$D$4:$D$17),0)</f>
        <v>0</v>
      </c>
    </row>
    <row r="89" spans="10:10" x14ac:dyDescent="0.2">
      <c r="J89" s="9">
        <f>IF(I89="Staff",LOOKUP(F89,'Pattern lookup'!$A$4:$A$29,'Pattern lookup'!$D$4:$D$17),0)</f>
        <v>0</v>
      </c>
    </row>
    <row r="90" spans="10:10" x14ac:dyDescent="0.2">
      <c r="J90" s="9">
        <f>IF(I90="Staff",LOOKUP(F90,'Pattern lookup'!$A$4:$A$29,'Pattern lookup'!$D$4:$D$17),0)</f>
        <v>0</v>
      </c>
    </row>
    <row r="91" spans="10:10" x14ac:dyDescent="0.2">
      <c r="J91" s="9">
        <f>IF(I91="Staff",LOOKUP(F91,'Pattern lookup'!$A$4:$A$29,'Pattern lookup'!$D$4:$D$17),0)</f>
        <v>0</v>
      </c>
    </row>
    <row r="92" spans="10:10" x14ac:dyDescent="0.2">
      <c r="J92" s="9">
        <f>IF(I92="Staff",LOOKUP(F92,'Pattern lookup'!$A$4:$A$29,'Pattern lookup'!$D$4:$D$17),0)</f>
        <v>0</v>
      </c>
    </row>
    <row r="93" spans="10:10" x14ac:dyDescent="0.2">
      <c r="J93" s="9">
        <f>IF(I93="Staff",LOOKUP(F93,'Pattern lookup'!$A$4:$A$29,'Pattern lookup'!$D$4:$D$17),0)</f>
        <v>0</v>
      </c>
    </row>
    <row r="94" spans="10:10" x14ac:dyDescent="0.2">
      <c r="J94" s="9">
        <f>IF(I94="Staff",LOOKUP(F94,'Pattern lookup'!$A$4:$A$29,'Pattern lookup'!$D$4:$D$17),0)</f>
        <v>0</v>
      </c>
    </row>
    <row r="95" spans="10:10" x14ac:dyDescent="0.2">
      <c r="J95" s="9">
        <f>IF(I95="Staff",LOOKUP(F95,'Pattern lookup'!$A$4:$A$29,'Pattern lookup'!$D$4:$D$17),0)</f>
        <v>0</v>
      </c>
    </row>
    <row r="96" spans="10:10" x14ac:dyDescent="0.2">
      <c r="J96" s="9">
        <f>IF(I96="Staff",LOOKUP(F96,'Pattern lookup'!$A$4:$A$29,'Pattern lookup'!$D$4:$D$17),0)</f>
        <v>0</v>
      </c>
    </row>
    <row r="97" spans="10:10" x14ac:dyDescent="0.2">
      <c r="J97" s="9">
        <f>IF(I97="Staff",LOOKUP(F97,'Pattern lookup'!$A$4:$A$29,'Pattern lookup'!$D$4:$D$17),0)</f>
        <v>0</v>
      </c>
    </row>
    <row r="98" spans="10:10" x14ac:dyDescent="0.2">
      <c r="J98" s="9">
        <f>IF(I98="Staff",LOOKUP(F98,'Pattern lookup'!$A$4:$A$29,'Pattern lookup'!$D$4:$D$17),0)</f>
        <v>0</v>
      </c>
    </row>
    <row r="99" spans="10:10" x14ac:dyDescent="0.2">
      <c r="J99" s="9">
        <f>IF(I99="Staff",LOOKUP(F99,'Pattern lookup'!$A$4:$A$29,'Pattern lookup'!$D$4:$D$17),0)</f>
        <v>0</v>
      </c>
    </row>
    <row r="100" spans="10:10" x14ac:dyDescent="0.2">
      <c r="J100" s="9">
        <f>IF(I100="Staff",LOOKUP(F100,'Pattern lookup'!$A$4:$A$29,'Pattern lookup'!$D$4:$D$17),0)</f>
        <v>0</v>
      </c>
    </row>
    <row r="101" spans="10:10" x14ac:dyDescent="0.2">
      <c r="J101" s="9">
        <f>IF(I101="Staff",LOOKUP(F101,'Pattern lookup'!$A$4:$A$29,'Pattern lookup'!$D$4:$D$17),0)</f>
        <v>0</v>
      </c>
    </row>
    <row r="102" spans="10:10" x14ac:dyDescent="0.2">
      <c r="J102" s="9">
        <f>IF(I102="Staff",LOOKUP(F102,'Pattern lookup'!$A$4:$A$29,'Pattern lookup'!$D$4:$D$17),0)</f>
        <v>0</v>
      </c>
    </row>
    <row r="103" spans="10:10" x14ac:dyDescent="0.2">
      <c r="J103" s="9">
        <f>IF(I103="Staff",LOOKUP(F103,'Pattern lookup'!$A$4:$A$29,'Pattern lookup'!$D$4:$D$17),0)</f>
        <v>0</v>
      </c>
    </row>
    <row r="104" spans="10:10" x14ac:dyDescent="0.2">
      <c r="J104" s="9">
        <f>IF(I104="Staff",LOOKUP(F104,'Pattern lookup'!$A$4:$A$29,'Pattern lookup'!$D$4:$D$17),0)</f>
        <v>0</v>
      </c>
    </row>
    <row r="105" spans="10:10" x14ac:dyDescent="0.2">
      <c r="J105" s="9">
        <f>IF(I105="Staff",LOOKUP(F105,'Pattern lookup'!$A$4:$A$29,'Pattern lookup'!$D$4:$D$17),0)</f>
        <v>0</v>
      </c>
    </row>
    <row r="106" spans="10:10" x14ac:dyDescent="0.2">
      <c r="J106" s="9">
        <f>IF(I106="Staff",LOOKUP(F106,'Pattern lookup'!$A$4:$A$29,'Pattern lookup'!$D$4:$D$17),0)</f>
        <v>0</v>
      </c>
    </row>
    <row r="107" spans="10:10" x14ac:dyDescent="0.2">
      <c r="J107" s="9">
        <f>IF(I107="Staff",LOOKUP(F107,'Pattern lookup'!$A$4:$A$29,'Pattern lookup'!$D$4:$D$17),0)</f>
        <v>0</v>
      </c>
    </row>
    <row r="108" spans="10:10" x14ac:dyDescent="0.2">
      <c r="J108" s="9">
        <f>IF(I108="Staff",LOOKUP(F108,'Pattern lookup'!$A$4:$A$29,'Pattern lookup'!$D$4:$D$17),0)</f>
        <v>0</v>
      </c>
    </row>
    <row r="109" spans="10:10" x14ac:dyDescent="0.2">
      <c r="J109" s="9">
        <f>IF(I109="Staff",LOOKUP(F109,'Pattern lookup'!$A$4:$A$29,'Pattern lookup'!$D$4:$D$17),0)</f>
        <v>0</v>
      </c>
    </row>
    <row r="110" spans="10:10" x14ac:dyDescent="0.2">
      <c r="J110" s="9">
        <f>IF(I110="Staff",LOOKUP(F110,'Pattern lookup'!$A$4:$A$29,'Pattern lookup'!$D$4:$D$17),0)</f>
        <v>0</v>
      </c>
    </row>
    <row r="111" spans="10:10" x14ac:dyDescent="0.2">
      <c r="J111" s="9">
        <f>IF(I111="Staff",LOOKUP(F111,'Pattern lookup'!$A$4:$A$29,'Pattern lookup'!$D$4:$D$17),0)</f>
        <v>0</v>
      </c>
    </row>
    <row r="112" spans="10:10" x14ac:dyDescent="0.2">
      <c r="J112" s="9">
        <f>IF(I112="Staff",LOOKUP(F112,'Pattern lookup'!$A$4:$A$29,'Pattern lookup'!$D$4:$D$17),0)</f>
        <v>0</v>
      </c>
    </row>
    <row r="113" spans="10:10" x14ac:dyDescent="0.2">
      <c r="J113" s="9">
        <f>IF(I113="Staff",LOOKUP(F113,'Pattern lookup'!$A$4:$A$29,'Pattern lookup'!$D$4:$D$17),0)</f>
        <v>0</v>
      </c>
    </row>
    <row r="114" spans="10:10" x14ac:dyDescent="0.2">
      <c r="J114" s="9">
        <f>IF(I114="Staff",LOOKUP(F114,'Pattern lookup'!$A$4:$A$29,'Pattern lookup'!$D$4:$D$17),0)</f>
        <v>0</v>
      </c>
    </row>
    <row r="115" spans="10:10" x14ac:dyDescent="0.2">
      <c r="J115" s="9">
        <f>IF(I115="Staff",LOOKUP(F115,'Pattern lookup'!$A$4:$A$29,'Pattern lookup'!$D$4:$D$17),0)</f>
        <v>0</v>
      </c>
    </row>
    <row r="116" spans="10:10" x14ac:dyDescent="0.2">
      <c r="J116" s="9">
        <f>IF(I116="Staff",LOOKUP(F116,'Pattern lookup'!$A$4:$A$29,'Pattern lookup'!$D$4:$D$17),0)</f>
        <v>0</v>
      </c>
    </row>
    <row r="117" spans="10:10" x14ac:dyDescent="0.2">
      <c r="J117" s="9">
        <f>IF(I117="Staff",LOOKUP(F117,'Pattern lookup'!$A$4:$A$29,'Pattern lookup'!$D$4:$D$17),0)</f>
        <v>0</v>
      </c>
    </row>
    <row r="118" spans="10:10" x14ac:dyDescent="0.2">
      <c r="J118" s="9">
        <f>IF(I118="Staff",LOOKUP(F118,'Pattern lookup'!$A$4:$A$29,'Pattern lookup'!$D$4:$D$17),0)</f>
        <v>0</v>
      </c>
    </row>
    <row r="119" spans="10:10" x14ac:dyDescent="0.2">
      <c r="J119" s="9">
        <f>IF(I119="Staff",LOOKUP(F119,'Pattern lookup'!$A$4:$A$29,'Pattern lookup'!$D$4:$D$17),0)</f>
        <v>0</v>
      </c>
    </row>
    <row r="120" spans="10:10" x14ac:dyDescent="0.2">
      <c r="J120" s="9">
        <f>IF(I120="Staff",LOOKUP(F120,'Pattern lookup'!$A$4:$A$29,'Pattern lookup'!$D$4:$D$17),0)</f>
        <v>0</v>
      </c>
    </row>
    <row r="121" spans="10:10" x14ac:dyDescent="0.2">
      <c r="J121" s="9">
        <f>IF(I121="Staff",LOOKUP(F121,'Pattern lookup'!$A$4:$A$29,'Pattern lookup'!$D$4:$D$17),0)</f>
        <v>0</v>
      </c>
    </row>
    <row r="122" spans="10:10" x14ac:dyDescent="0.2">
      <c r="J122" s="9">
        <f>IF(I122="Staff",LOOKUP(F122,'Pattern lookup'!$A$4:$A$29,'Pattern lookup'!$D$4:$D$17),0)</f>
        <v>0</v>
      </c>
    </row>
    <row r="123" spans="10:10" x14ac:dyDescent="0.2">
      <c r="J123" s="9">
        <f>IF(I123="Staff",LOOKUP(F123,'Pattern lookup'!$A$4:$A$29,'Pattern lookup'!$D$4:$D$17),0)</f>
        <v>0</v>
      </c>
    </row>
    <row r="124" spans="10:10" x14ac:dyDescent="0.2">
      <c r="J124" s="9">
        <f>IF(I124="Staff",LOOKUP(F124,'Pattern lookup'!$A$4:$A$29,'Pattern lookup'!$D$4:$D$17),0)</f>
        <v>0</v>
      </c>
    </row>
    <row r="125" spans="10:10" x14ac:dyDescent="0.2">
      <c r="J125" s="9">
        <f>IF(I125="Staff",LOOKUP(F125,'Pattern lookup'!$A$4:$A$29,'Pattern lookup'!$D$4:$D$17),0)</f>
        <v>0</v>
      </c>
    </row>
    <row r="126" spans="10:10" x14ac:dyDescent="0.2">
      <c r="J126" s="9">
        <f>IF(I126="Staff",LOOKUP(F126,'Pattern lookup'!$A$4:$A$29,'Pattern lookup'!$D$4:$D$17),0)</f>
        <v>0</v>
      </c>
    </row>
    <row r="127" spans="10:10" x14ac:dyDescent="0.2">
      <c r="J127" s="9">
        <f>IF(I127="Staff",LOOKUP(F127,'Pattern lookup'!$A$4:$A$29,'Pattern lookup'!$D$4:$D$17),0)</f>
        <v>0</v>
      </c>
    </row>
    <row r="128" spans="10:10" x14ac:dyDescent="0.2">
      <c r="J128" s="9">
        <f>IF(I128="Staff",LOOKUP(F128,'Pattern lookup'!$A$4:$A$29,'Pattern lookup'!$D$4:$D$17),0)</f>
        <v>0</v>
      </c>
    </row>
    <row r="129" spans="10:10" x14ac:dyDescent="0.2">
      <c r="J129" s="9">
        <f>IF(I129="Staff",LOOKUP(F129,'Pattern lookup'!$A$4:$A$29,'Pattern lookup'!$D$4:$D$17),0)</f>
        <v>0</v>
      </c>
    </row>
    <row r="130" spans="10:10" x14ac:dyDescent="0.2">
      <c r="J130" s="9">
        <f>IF(I130="Staff",LOOKUP(F130,'Pattern lookup'!$A$4:$A$29,'Pattern lookup'!$D$4:$D$17),0)</f>
        <v>0</v>
      </c>
    </row>
    <row r="131" spans="10:10" x14ac:dyDescent="0.2">
      <c r="J131" s="9">
        <f>IF(I131="Staff",LOOKUP(F131,'Pattern lookup'!$A$4:$A$29,'Pattern lookup'!$D$4:$D$17),0)</f>
        <v>0</v>
      </c>
    </row>
    <row r="132" spans="10:10" x14ac:dyDescent="0.2">
      <c r="J132" s="9">
        <f>IF(I132="Staff",LOOKUP(F132,'Pattern lookup'!$A$4:$A$29,'Pattern lookup'!$D$4:$D$17),0)</f>
        <v>0</v>
      </c>
    </row>
    <row r="133" spans="10:10" x14ac:dyDescent="0.2">
      <c r="J133" s="9">
        <f>IF(I133="Staff",LOOKUP(F133,'Pattern lookup'!$A$4:$A$29,'Pattern lookup'!$D$4:$D$17),0)</f>
        <v>0</v>
      </c>
    </row>
    <row r="134" spans="10:10" x14ac:dyDescent="0.2">
      <c r="J134" s="9">
        <f>IF(I134="Staff",LOOKUP(F134,'Pattern lookup'!$A$4:$A$29,'Pattern lookup'!$D$4:$D$17),0)</f>
        <v>0</v>
      </c>
    </row>
    <row r="135" spans="10:10" x14ac:dyDescent="0.2">
      <c r="J135" s="9">
        <f>IF(I135="Staff",LOOKUP(F135,'Pattern lookup'!$A$4:$A$29,'Pattern lookup'!$D$4:$D$17),0)</f>
        <v>0</v>
      </c>
    </row>
    <row r="136" spans="10:10" x14ac:dyDescent="0.2">
      <c r="J136" s="9">
        <f>IF(I136="Staff",LOOKUP(F136,'Pattern lookup'!$A$4:$A$29,'Pattern lookup'!$D$4:$D$17),0)</f>
        <v>0</v>
      </c>
    </row>
    <row r="137" spans="10:10" x14ac:dyDescent="0.2">
      <c r="J137" s="9">
        <f>IF(I137="Staff",LOOKUP(F137,'Pattern lookup'!$A$4:$A$29,'Pattern lookup'!$D$4:$D$17),0)</f>
        <v>0</v>
      </c>
    </row>
    <row r="138" spans="10:10" x14ac:dyDescent="0.2">
      <c r="J138" s="9">
        <f>IF(I138="Staff",LOOKUP(F138,'Pattern lookup'!$A$4:$A$29,'Pattern lookup'!$D$4:$D$17),0)</f>
        <v>0</v>
      </c>
    </row>
    <row r="139" spans="10:10" x14ac:dyDescent="0.2">
      <c r="J139" s="9">
        <f>IF(I139="Staff",LOOKUP(F139,'Pattern lookup'!$A$4:$A$29,'Pattern lookup'!$D$4:$D$17),0)</f>
        <v>0</v>
      </c>
    </row>
    <row r="140" spans="10:10" x14ac:dyDescent="0.2">
      <c r="J140" s="9">
        <f>IF(I140="Staff",LOOKUP(F140,'Pattern lookup'!$A$4:$A$29,'Pattern lookup'!$D$4:$D$17),0)</f>
        <v>0</v>
      </c>
    </row>
    <row r="141" spans="10:10" x14ac:dyDescent="0.2">
      <c r="J141" s="9">
        <f>IF(I141="Staff",LOOKUP(F141,'Pattern lookup'!$A$4:$A$29,'Pattern lookup'!$D$4:$D$17),0)</f>
        <v>0</v>
      </c>
    </row>
    <row r="142" spans="10:10" x14ac:dyDescent="0.2">
      <c r="J142" s="9">
        <f>IF(I142="Staff",LOOKUP(F142,'Pattern lookup'!$A$4:$A$29,'Pattern lookup'!$D$4:$D$17),0)</f>
        <v>0</v>
      </c>
    </row>
    <row r="143" spans="10:10" x14ac:dyDescent="0.2">
      <c r="J143" s="9">
        <f>IF(I143="Staff",LOOKUP(F143,'Pattern lookup'!$A$4:$A$29,'Pattern lookup'!$D$4:$D$17),0)</f>
        <v>0</v>
      </c>
    </row>
    <row r="144" spans="10:10" x14ac:dyDescent="0.2">
      <c r="J144" s="9">
        <f>IF(I144="Staff",LOOKUP(F144,'Pattern lookup'!$A$4:$A$29,'Pattern lookup'!$D$4:$D$17),0)</f>
        <v>0</v>
      </c>
    </row>
    <row r="145" spans="10:10" x14ac:dyDescent="0.2">
      <c r="J145" s="9">
        <f>IF(I145="Staff",LOOKUP(F145,'Pattern lookup'!$A$4:$A$29,'Pattern lookup'!$D$4:$D$17),0)</f>
        <v>0</v>
      </c>
    </row>
    <row r="146" spans="10:10" x14ac:dyDescent="0.2">
      <c r="J146" s="9">
        <f>IF(I146="Staff",LOOKUP(F146,'Pattern lookup'!$A$4:$A$29,'Pattern lookup'!$D$4:$D$17),0)</f>
        <v>0</v>
      </c>
    </row>
    <row r="147" spans="10:10" x14ac:dyDescent="0.2">
      <c r="J147" s="9">
        <f>IF(I147="Staff",LOOKUP(F147,'Pattern lookup'!$A$4:$A$29,'Pattern lookup'!$D$4:$D$17),0)</f>
        <v>0</v>
      </c>
    </row>
    <row r="148" spans="10:10" x14ac:dyDescent="0.2">
      <c r="J148" s="9">
        <f>IF(I148="Staff",LOOKUP(F148,'Pattern lookup'!$A$4:$A$29,'Pattern lookup'!$D$4:$D$17),0)</f>
        <v>0</v>
      </c>
    </row>
    <row r="149" spans="10:10" x14ac:dyDescent="0.2">
      <c r="J149" s="9">
        <f>IF(I149="Staff",LOOKUP(F149,'Pattern lookup'!$A$4:$A$29,'Pattern lookup'!$D$4:$D$17),0)</f>
        <v>0</v>
      </c>
    </row>
    <row r="150" spans="10:10" x14ac:dyDescent="0.2">
      <c r="J150" s="9">
        <f>IF(I150="Staff",LOOKUP(F150,'Pattern lookup'!$A$4:$A$29,'Pattern lookup'!$D$4:$D$17),0)</f>
        <v>0</v>
      </c>
    </row>
    <row r="151" spans="10:10" x14ac:dyDescent="0.2">
      <c r="J151" s="9">
        <f>IF(I151="Staff",LOOKUP(F151,'Pattern lookup'!$A$4:$A$29,'Pattern lookup'!$D$4:$D$17),0)</f>
        <v>0</v>
      </c>
    </row>
    <row r="152" spans="10:10" x14ac:dyDescent="0.2">
      <c r="J152" s="9">
        <f>IF(I152="Staff",LOOKUP(F152,'Pattern lookup'!$A$4:$A$29,'Pattern lookup'!$D$4:$D$17),0)</f>
        <v>0</v>
      </c>
    </row>
    <row r="153" spans="10:10" x14ac:dyDescent="0.2">
      <c r="J153" s="9">
        <f>IF(I153="Staff",LOOKUP(F153,'Pattern lookup'!$A$4:$A$29,'Pattern lookup'!$D$4:$D$17),0)</f>
        <v>0</v>
      </c>
    </row>
    <row r="154" spans="10:10" x14ac:dyDescent="0.2">
      <c r="J154" s="9">
        <f>IF(I154="Staff",LOOKUP(F154,'Pattern lookup'!$A$4:$A$29,'Pattern lookup'!$D$4:$D$17),0)</f>
        <v>0</v>
      </c>
    </row>
    <row r="155" spans="10:10" x14ac:dyDescent="0.2">
      <c r="J155" s="9">
        <f>IF(I155="Staff",LOOKUP(F155,'Pattern lookup'!$A$4:$A$29,'Pattern lookup'!$D$4:$D$17),0)</f>
        <v>0</v>
      </c>
    </row>
    <row r="156" spans="10:10" x14ac:dyDescent="0.2">
      <c r="J156" s="9">
        <f>IF(I156="Staff",LOOKUP(F156,'Pattern lookup'!$A$4:$A$29,'Pattern lookup'!$D$4:$D$17),0)</f>
        <v>0</v>
      </c>
    </row>
    <row r="157" spans="10:10" x14ac:dyDescent="0.2">
      <c r="J157" s="9">
        <f>IF(I157="Staff",LOOKUP(F157,'Pattern lookup'!$A$4:$A$29,'Pattern lookup'!$D$4:$D$17),0)</f>
        <v>0</v>
      </c>
    </row>
    <row r="158" spans="10:10" x14ac:dyDescent="0.2">
      <c r="J158" s="9">
        <f>IF(I158="Staff",LOOKUP(F158,'Pattern lookup'!$A$4:$A$29,'Pattern lookup'!$D$4:$D$17),0)</f>
        <v>0</v>
      </c>
    </row>
    <row r="159" spans="10:10" x14ac:dyDescent="0.2">
      <c r="J159" s="9">
        <f>IF(I159="Staff",LOOKUP(F159,'Pattern lookup'!$A$4:$A$29,'Pattern lookup'!$D$4:$D$17),0)</f>
        <v>0</v>
      </c>
    </row>
    <row r="160" spans="10:10" x14ac:dyDescent="0.2">
      <c r="J160" s="9">
        <f>IF(I160="Staff",LOOKUP(F160,'Pattern lookup'!$A$4:$A$29,'Pattern lookup'!$D$4:$D$17),0)</f>
        <v>0</v>
      </c>
    </row>
    <row r="161" spans="10:10" x14ac:dyDescent="0.2">
      <c r="J161" s="9">
        <f>IF(I161="Staff",LOOKUP(F161,'Pattern lookup'!$A$4:$A$29,'Pattern lookup'!$D$4:$D$17),0)</f>
        <v>0</v>
      </c>
    </row>
    <row r="162" spans="10:10" x14ac:dyDescent="0.2">
      <c r="J162" s="9">
        <f>IF(I162="Staff",LOOKUP(F162,'Pattern lookup'!$A$4:$A$29,'Pattern lookup'!$D$4:$D$17),0)</f>
        <v>0</v>
      </c>
    </row>
    <row r="163" spans="10:10" x14ac:dyDescent="0.2">
      <c r="J163" s="9">
        <f>IF(I163="Staff",LOOKUP(F163,'Pattern lookup'!$A$4:$A$29,'Pattern lookup'!$D$4:$D$17),0)</f>
        <v>0</v>
      </c>
    </row>
    <row r="164" spans="10:10" x14ac:dyDescent="0.2">
      <c r="J164" s="9">
        <f>IF(I164="Staff",LOOKUP(F164,'Pattern lookup'!$A$4:$A$29,'Pattern lookup'!$D$4:$D$17),0)</f>
        <v>0</v>
      </c>
    </row>
    <row r="165" spans="10:10" x14ac:dyDescent="0.2">
      <c r="J165" s="9">
        <f>IF(I165="Staff",LOOKUP(F165,'Pattern lookup'!$A$4:$A$29,'Pattern lookup'!$D$4:$D$17),0)</f>
        <v>0</v>
      </c>
    </row>
    <row r="166" spans="10:10" x14ac:dyDescent="0.2">
      <c r="J166" s="9">
        <f>IF(I166="Staff",LOOKUP(F166,'Pattern lookup'!$A$4:$A$29,'Pattern lookup'!$D$4:$D$17),0)</f>
        <v>0</v>
      </c>
    </row>
    <row r="167" spans="10:10" x14ac:dyDescent="0.2">
      <c r="J167" s="9">
        <f>IF(I167="Staff",LOOKUP(F167,'Pattern lookup'!$A$4:$A$29,'Pattern lookup'!$D$4:$D$17),0)</f>
        <v>0</v>
      </c>
    </row>
    <row r="168" spans="10:10" x14ac:dyDescent="0.2">
      <c r="J168" s="9">
        <f>IF(I168="Staff",LOOKUP(F168,'Pattern lookup'!$A$4:$A$29,'Pattern lookup'!$D$4:$D$17),0)</f>
        <v>0</v>
      </c>
    </row>
    <row r="169" spans="10:10" x14ac:dyDescent="0.2">
      <c r="J169" s="9">
        <f>IF(I169="Staff",LOOKUP(F169,'Pattern lookup'!$A$4:$A$29,'Pattern lookup'!$D$4:$D$17),0)</f>
        <v>0</v>
      </c>
    </row>
    <row r="170" spans="10:10" x14ac:dyDescent="0.2">
      <c r="J170" s="9">
        <f>IF(I170="Staff",LOOKUP(F170,'Pattern lookup'!$A$4:$A$29,'Pattern lookup'!$D$4:$D$17),0)</f>
        <v>0</v>
      </c>
    </row>
    <row r="171" spans="10:10" x14ac:dyDescent="0.2">
      <c r="J171" s="9">
        <f>IF(I171="Staff",LOOKUP(F171,'Pattern lookup'!$A$4:$A$29,'Pattern lookup'!$D$4:$D$17),0)</f>
        <v>0</v>
      </c>
    </row>
    <row r="172" spans="10:10" x14ac:dyDescent="0.2">
      <c r="J172" s="9">
        <f>IF(I172="Staff",LOOKUP(F172,'Pattern lookup'!$A$4:$A$29,'Pattern lookup'!$D$4:$D$17),0)</f>
        <v>0</v>
      </c>
    </row>
    <row r="173" spans="10:10" x14ac:dyDescent="0.2">
      <c r="J173" s="9">
        <f>IF(I173="Staff",LOOKUP(F173,'Pattern lookup'!$A$4:$A$29,'Pattern lookup'!$D$4:$D$17),0)</f>
        <v>0</v>
      </c>
    </row>
    <row r="174" spans="10:10" x14ac:dyDescent="0.2">
      <c r="J174" s="9">
        <f>IF(I174="Staff",LOOKUP(F174,'Pattern lookup'!$A$4:$A$29,'Pattern lookup'!$D$4:$D$17),0)</f>
        <v>0</v>
      </c>
    </row>
    <row r="175" spans="10:10" x14ac:dyDescent="0.2">
      <c r="J175" s="9">
        <f>IF(I175="Staff",LOOKUP(F175,'Pattern lookup'!$A$4:$A$29,'Pattern lookup'!$D$4:$D$17),0)</f>
        <v>0</v>
      </c>
    </row>
    <row r="176" spans="10:10" x14ac:dyDescent="0.2">
      <c r="J176" s="9">
        <f>IF(I176="Staff",LOOKUP(F176,'Pattern lookup'!$A$4:$A$29,'Pattern lookup'!$D$4:$D$17),0)</f>
        <v>0</v>
      </c>
    </row>
    <row r="177" spans="10:10" x14ac:dyDescent="0.2">
      <c r="J177" s="9">
        <f>IF(I177="Staff",LOOKUP(F177,'Pattern lookup'!$A$4:$A$29,'Pattern lookup'!$D$4:$D$17),0)</f>
        <v>0</v>
      </c>
    </row>
    <row r="178" spans="10:10" x14ac:dyDescent="0.2">
      <c r="J178" s="9">
        <f>IF(I178="Staff",LOOKUP(F178,'Pattern lookup'!$A$4:$A$29,'Pattern lookup'!$D$4:$D$17),0)</f>
        <v>0</v>
      </c>
    </row>
    <row r="179" spans="10:10" x14ac:dyDescent="0.2">
      <c r="J179" s="9">
        <f>IF(I179="Staff",LOOKUP(F179,'Pattern lookup'!$A$4:$A$29,'Pattern lookup'!$D$4:$D$17),0)</f>
        <v>0</v>
      </c>
    </row>
    <row r="180" spans="10:10" x14ac:dyDescent="0.2">
      <c r="J180" s="9">
        <f>IF(I180="Staff",LOOKUP(F180,'Pattern lookup'!$A$4:$A$29,'Pattern lookup'!$D$4:$D$17),0)</f>
        <v>0</v>
      </c>
    </row>
    <row r="181" spans="10:10" x14ac:dyDescent="0.2">
      <c r="J181" s="9">
        <f>IF(I181="Staff",LOOKUP(F181,'Pattern lookup'!$A$4:$A$29,'Pattern lookup'!$D$4:$D$17),0)</f>
        <v>0</v>
      </c>
    </row>
    <row r="182" spans="10:10" x14ac:dyDescent="0.2">
      <c r="J182" s="9">
        <f>IF(I182="Staff",LOOKUP(F182,'Pattern lookup'!$A$4:$A$29,'Pattern lookup'!$D$4:$D$17),0)</f>
        <v>0</v>
      </c>
    </row>
    <row r="183" spans="10:10" x14ac:dyDescent="0.2">
      <c r="J183" s="9">
        <f>IF(I183="Staff",LOOKUP(F183,'Pattern lookup'!$A$4:$A$29,'Pattern lookup'!$D$4:$D$17),0)</f>
        <v>0</v>
      </c>
    </row>
    <row r="184" spans="10:10" x14ac:dyDescent="0.2">
      <c r="J184" s="9">
        <f>IF(I184="Staff",LOOKUP(F184,'Pattern lookup'!$A$4:$A$29,'Pattern lookup'!$D$4:$D$17),0)</f>
        <v>0</v>
      </c>
    </row>
    <row r="185" spans="10:10" x14ac:dyDescent="0.2">
      <c r="J185" s="9">
        <f>IF(I185="Staff",LOOKUP(F185,'Pattern lookup'!$A$4:$A$29,'Pattern lookup'!$D$4:$D$17),0)</f>
        <v>0</v>
      </c>
    </row>
    <row r="186" spans="10:10" x14ac:dyDescent="0.2">
      <c r="J186" s="9">
        <f>IF(I186="Staff",LOOKUP(F186,'Pattern lookup'!$A$4:$A$29,'Pattern lookup'!$D$4:$D$17),0)</f>
        <v>0</v>
      </c>
    </row>
    <row r="187" spans="10:10" x14ac:dyDescent="0.2">
      <c r="J187" s="9">
        <f>IF(I187="Staff",LOOKUP(F187,'Pattern lookup'!$A$4:$A$29,'Pattern lookup'!$D$4:$D$17),0)</f>
        <v>0</v>
      </c>
    </row>
    <row r="188" spans="10:10" x14ac:dyDescent="0.2">
      <c r="J188" s="9">
        <f>IF(I188="Staff",LOOKUP(F188,'Pattern lookup'!$A$4:$A$29,'Pattern lookup'!$D$4:$D$17),0)</f>
        <v>0</v>
      </c>
    </row>
    <row r="189" spans="10:10" x14ac:dyDescent="0.2">
      <c r="J189" s="9">
        <f>IF(I189="Staff",LOOKUP(F189,'Pattern lookup'!$A$4:$A$29,'Pattern lookup'!$D$4:$D$17),0)</f>
        <v>0</v>
      </c>
    </row>
    <row r="190" spans="10:10" x14ac:dyDescent="0.2">
      <c r="J190" s="9">
        <f>IF(I190="Staff",LOOKUP(F190,'Pattern lookup'!$A$4:$A$29,'Pattern lookup'!$D$4:$D$17),0)</f>
        <v>0</v>
      </c>
    </row>
    <row r="191" spans="10:10" x14ac:dyDescent="0.2">
      <c r="J191" s="9">
        <f>IF(I191="Staff",LOOKUP(F191,'Pattern lookup'!$A$4:$A$29,'Pattern lookup'!$D$4:$D$17),0)</f>
        <v>0</v>
      </c>
    </row>
    <row r="192" spans="10:10" x14ac:dyDescent="0.2">
      <c r="J192" s="9">
        <f>IF(I192="Staff",LOOKUP(F192,'Pattern lookup'!$A$4:$A$29,'Pattern lookup'!$D$4:$D$17),0)</f>
        <v>0</v>
      </c>
    </row>
    <row r="193" spans="10:10" x14ac:dyDescent="0.2">
      <c r="J193" s="9">
        <f>IF(I193="Staff",LOOKUP(F193,'Pattern lookup'!$A$4:$A$29,'Pattern lookup'!$D$4:$D$17),0)</f>
        <v>0</v>
      </c>
    </row>
    <row r="194" spans="10:10" x14ac:dyDescent="0.2">
      <c r="J194" s="9">
        <f>IF(I194="Staff",LOOKUP(F194,'Pattern lookup'!$A$4:$A$29,'Pattern lookup'!$D$4:$D$17),0)</f>
        <v>0</v>
      </c>
    </row>
    <row r="195" spans="10:10" x14ac:dyDescent="0.2">
      <c r="J195" s="9">
        <f>IF(I195="Staff",LOOKUP(F195,'Pattern lookup'!$A$4:$A$29,'Pattern lookup'!$D$4:$D$17),0)</f>
        <v>0</v>
      </c>
    </row>
    <row r="196" spans="10:10" x14ac:dyDescent="0.2">
      <c r="J196" s="9">
        <f>IF(I196="Staff",LOOKUP(F196,'Pattern lookup'!$A$4:$A$29,'Pattern lookup'!$D$4:$D$17),0)</f>
        <v>0</v>
      </c>
    </row>
    <row r="197" spans="10:10" x14ac:dyDescent="0.2">
      <c r="J197" s="9">
        <f>IF(I197="Staff",LOOKUP(F197,'Pattern lookup'!$A$4:$A$29,'Pattern lookup'!$D$4:$D$17),0)</f>
        <v>0</v>
      </c>
    </row>
    <row r="198" spans="10:10" x14ac:dyDescent="0.2">
      <c r="J198" s="9">
        <f>IF(I198="Staff",LOOKUP(F198,'Pattern lookup'!$A$4:$A$29,'Pattern lookup'!$D$4:$D$17),0)</f>
        <v>0</v>
      </c>
    </row>
    <row r="199" spans="10:10" x14ac:dyDescent="0.2">
      <c r="J199" s="9">
        <f>IF(I199="Staff",LOOKUP(F199,'Pattern lookup'!$A$4:$A$29,'Pattern lookup'!$D$4:$D$17),0)</f>
        <v>0</v>
      </c>
    </row>
    <row r="200" spans="10:10" x14ac:dyDescent="0.2">
      <c r="J200" s="9">
        <f>IF(I200="Staff",LOOKUP(F200,'Pattern lookup'!$A$4:$A$29,'Pattern lookup'!$D$4:$D$17),0)</f>
        <v>0</v>
      </c>
    </row>
    <row r="201" spans="10:10" x14ac:dyDescent="0.2">
      <c r="J201" s="9">
        <f>IF(I201="Staff",LOOKUP(F201,'Pattern lookup'!$A$4:$A$29,'Pattern lookup'!$D$4:$D$17),0)</f>
        <v>0</v>
      </c>
    </row>
    <row r="202" spans="10:10" x14ac:dyDescent="0.2">
      <c r="J202" s="9">
        <f>IF(I202="Staff",LOOKUP(F202,'Pattern lookup'!$A$4:$A$29,'Pattern lookup'!$D$4:$D$17),0)</f>
        <v>0</v>
      </c>
    </row>
    <row r="203" spans="10:10" x14ac:dyDescent="0.2">
      <c r="J203" s="9">
        <f>IF(I203="Staff",LOOKUP(F203,'Pattern lookup'!$A$4:$A$29,'Pattern lookup'!$D$4:$D$17),0)</f>
        <v>0</v>
      </c>
    </row>
    <row r="204" spans="10:10" x14ac:dyDescent="0.2">
      <c r="J204" s="9">
        <f>IF(I204="Staff",LOOKUP(F204,'Pattern lookup'!$A$4:$A$29,'Pattern lookup'!$D$4:$D$17),0)</f>
        <v>0</v>
      </c>
    </row>
    <row r="205" spans="10:10" x14ac:dyDescent="0.2">
      <c r="J205" s="9">
        <f>IF(I205="Staff",LOOKUP(F205,'Pattern lookup'!$A$4:$A$29,'Pattern lookup'!$D$4:$D$17),0)</f>
        <v>0</v>
      </c>
    </row>
    <row r="206" spans="10:10" x14ac:dyDescent="0.2">
      <c r="J206" s="9">
        <f>IF(I206="Staff",LOOKUP(F206,'Pattern lookup'!$A$4:$A$29,'Pattern lookup'!$D$4:$D$17),0)</f>
        <v>0</v>
      </c>
    </row>
    <row r="207" spans="10:10" x14ac:dyDescent="0.2">
      <c r="J207" s="9">
        <f>IF(I207="Staff",LOOKUP(F207,'Pattern lookup'!$A$4:$A$29,'Pattern lookup'!$D$4:$D$17),0)</f>
        <v>0</v>
      </c>
    </row>
    <row r="208" spans="10:10" x14ac:dyDescent="0.2">
      <c r="J208" s="9">
        <f>IF(I208="Staff",LOOKUP(F208,'Pattern lookup'!$A$4:$A$29,'Pattern lookup'!$D$4:$D$17),0)</f>
        <v>0</v>
      </c>
    </row>
    <row r="209" spans="10:10" x14ac:dyDescent="0.2">
      <c r="J209" s="9">
        <f>IF(I209="Staff",LOOKUP(F209,'Pattern lookup'!$A$4:$A$29,'Pattern lookup'!$D$4:$D$17),0)</f>
        <v>0</v>
      </c>
    </row>
    <row r="210" spans="10:10" x14ac:dyDescent="0.2">
      <c r="J210" s="9">
        <f>IF(I210="Staff",LOOKUP(F210,'Pattern lookup'!$A$4:$A$29,'Pattern lookup'!$D$4:$D$17),0)</f>
        <v>0</v>
      </c>
    </row>
    <row r="211" spans="10:10" x14ac:dyDescent="0.2">
      <c r="J211" s="9">
        <f>IF(I211="Staff",LOOKUP(F211,'Pattern lookup'!$A$4:$A$29,'Pattern lookup'!$D$4:$D$17),0)</f>
        <v>0</v>
      </c>
    </row>
    <row r="212" spans="10:10" x14ac:dyDescent="0.2">
      <c r="J212" s="9">
        <f>IF(I212="Staff",LOOKUP(F212,'Pattern lookup'!$A$4:$A$29,'Pattern lookup'!$D$4:$D$17),0)</f>
        <v>0</v>
      </c>
    </row>
    <row r="213" spans="10:10" x14ac:dyDescent="0.2">
      <c r="J213" s="9">
        <f>IF(I213="Staff",LOOKUP(F213,'Pattern lookup'!$A$4:$A$29,'Pattern lookup'!$D$4:$D$17),0)</f>
        <v>0</v>
      </c>
    </row>
    <row r="214" spans="10:10" x14ac:dyDescent="0.2">
      <c r="J214" s="9">
        <f>IF(I214="Staff",LOOKUP(F214,'Pattern lookup'!$A$4:$A$29,'Pattern lookup'!$D$4:$D$17),0)</f>
        <v>0</v>
      </c>
    </row>
    <row r="215" spans="10:10" x14ac:dyDescent="0.2">
      <c r="J215" s="9">
        <f>IF(I215="Staff",LOOKUP(F215,'Pattern lookup'!$A$4:$A$29,'Pattern lookup'!$D$4:$D$17),0)</f>
        <v>0</v>
      </c>
    </row>
    <row r="216" spans="10:10" x14ac:dyDescent="0.2">
      <c r="J216" s="9">
        <f>IF(I216="Staff",LOOKUP(F216,'Pattern lookup'!$A$4:$A$29,'Pattern lookup'!$D$4:$D$17),0)</f>
        <v>0</v>
      </c>
    </row>
    <row r="217" spans="10:10" x14ac:dyDescent="0.2">
      <c r="J217" s="9">
        <f>IF(I217="Staff",LOOKUP(F217,'Pattern lookup'!$A$4:$A$29,'Pattern lookup'!$D$4:$D$17),0)</f>
        <v>0</v>
      </c>
    </row>
    <row r="218" spans="10:10" x14ac:dyDescent="0.2">
      <c r="J218" s="9">
        <f>IF(I218="Staff",LOOKUP(F218,'Pattern lookup'!$A$4:$A$29,'Pattern lookup'!$D$4:$D$17),0)</f>
        <v>0</v>
      </c>
    </row>
    <row r="219" spans="10:10" x14ac:dyDescent="0.2">
      <c r="J219" s="9">
        <f>IF(I219="Staff",LOOKUP(F219,'Pattern lookup'!$A$4:$A$29,'Pattern lookup'!$D$4:$D$17),0)</f>
        <v>0</v>
      </c>
    </row>
    <row r="220" spans="10:10" x14ac:dyDescent="0.2">
      <c r="J220" s="9">
        <f>IF(I220="Staff",LOOKUP(F220,'Pattern lookup'!$A$4:$A$29,'Pattern lookup'!$D$4:$D$17),0)</f>
        <v>0</v>
      </c>
    </row>
    <row r="221" spans="10:10" x14ac:dyDescent="0.2">
      <c r="J221" s="9">
        <f>IF(I221="Staff",LOOKUP(F221,'Pattern lookup'!$A$4:$A$29,'Pattern lookup'!$D$4:$D$17),0)</f>
        <v>0</v>
      </c>
    </row>
    <row r="222" spans="10:10" x14ac:dyDescent="0.2">
      <c r="J222" s="9">
        <f>IF(I222="Staff",LOOKUP(F222,'Pattern lookup'!$A$4:$A$29,'Pattern lookup'!$D$4:$D$17),0)</f>
        <v>0</v>
      </c>
    </row>
    <row r="223" spans="10:10" x14ac:dyDescent="0.2">
      <c r="J223" s="9">
        <f>IF(I223="Staff",LOOKUP(F223,'Pattern lookup'!$A$4:$A$29,'Pattern lookup'!$D$4:$D$17),0)</f>
        <v>0</v>
      </c>
    </row>
    <row r="224" spans="10:10" x14ac:dyDescent="0.2">
      <c r="J224" s="9">
        <f>IF(I224="Staff",LOOKUP(F224,'Pattern lookup'!$A$4:$A$29,'Pattern lookup'!$D$4:$D$17),0)</f>
        <v>0</v>
      </c>
    </row>
    <row r="225" spans="10:10" x14ac:dyDescent="0.2">
      <c r="J225" s="9">
        <f>IF(I225="Staff",LOOKUP(F225,'Pattern lookup'!$A$4:$A$29,'Pattern lookup'!$D$4:$D$17),0)</f>
        <v>0</v>
      </c>
    </row>
    <row r="226" spans="10:10" x14ac:dyDescent="0.2">
      <c r="J226" s="9">
        <f>IF(I226="Staff",LOOKUP(F226,'Pattern lookup'!$A$4:$A$29,'Pattern lookup'!$D$4:$D$17),0)</f>
        <v>0</v>
      </c>
    </row>
    <row r="227" spans="10:10" x14ac:dyDescent="0.2">
      <c r="J227" s="9">
        <f>IF(I227="Staff",LOOKUP(F227,'Pattern lookup'!$A$4:$A$29,'Pattern lookup'!$D$4:$D$17),0)</f>
        <v>0</v>
      </c>
    </row>
    <row r="228" spans="10:10" x14ac:dyDescent="0.2">
      <c r="J228" s="9">
        <f>IF(I228="Staff",LOOKUP(F228,'Pattern lookup'!$A$4:$A$29,'Pattern lookup'!$D$4:$D$17),0)</f>
        <v>0</v>
      </c>
    </row>
    <row r="229" spans="10:10" x14ac:dyDescent="0.2">
      <c r="J229" s="9">
        <f>IF(I229="Staff",LOOKUP(F229,'Pattern lookup'!$A$4:$A$29,'Pattern lookup'!$D$4:$D$17),0)</f>
        <v>0</v>
      </c>
    </row>
    <row r="230" spans="10:10" x14ac:dyDescent="0.2">
      <c r="J230" s="9">
        <f>IF(I230="Staff",LOOKUP(F230,'Pattern lookup'!$A$4:$A$29,'Pattern lookup'!$D$4:$D$17),0)</f>
        <v>0</v>
      </c>
    </row>
    <row r="231" spans="10:10" x14ac:dyDescent="0.2">
      <c r="J231" s="9">
        <f>IF(I231="Staff",LOOKUP(F231,'Pattern lookup'!$A$4:$A$29,'Pattern lookup'!$D$4:$D$17),0)</f>
        <v>0</v>
      </c>
    </row>
    <row r="232" spans="10:10" x14ac:dyDescent="0.2">
      <c r="J232" s="9">
        <f>IF(I232="Staff",LOOKUP(F232,'Pattern lookup'!$A$4:$A$29,'Pattern lookup'!$D$4:$D$17),0)</f>
        <v>0</v>
      </c>
    </row>
    <row r="233" spans="10:10" x14ac:dyDescent="0.2">
      <c r="J233" s="9">
        <f>IF(I233="Staff",LOOKUP(F233,'Pattern lookup'!$A$4:$A$29,'Pattern lookup'!$D$4:$D$17),0)</f>
        <v>0</v>
      </c>
    </row>
    <row r="234" spans="10:10" x14ac:dyDescent="0.2">
      <c r="J234" s="9">
        <f>IF(I234="Staff",LOOKUP(F234,'Pattern lookup'!$A$4:$A$29,'Pattern lookup'!$D$4:$D$17),0)</f>
        <v>0</v>
      </c>
    </row>
    <row r="235" spans="10:10" x14ac:dyDescent="0.2">
      <c r="J235" s="9">
        <f>IF(I235="Staff",LOOKUP(F235,'Pattern lookup'!$A$4:$A$29,'Pattern lookup'!$D$4:$D$17),0)</f>
        <v>0</v>
      </c>
    </row>
    <row r="236" spans="10:10" x14ac:dyDescent="0.2">
      <c r="J236" s="9">
        <f>IF(I236="Staff",LOOKUP(F236,'Pattern lookup'!$A$4:$A$29,'Pattern lookup'!$D$4:$D$17),0)</f>
        <v>0</v>
      </c>
    </row>
    <row r="237" spans="10:10" x14ac:dyDescent="0.2">
      <c r="J237" s="9">
        <f>IF(I237="Staff",LOOKUP(F237,'Pattern lookup'!$A$4:$A$29,'Pattern lookup'!$D$4:$D$17),0)</f>
        <v>0</v>
      </c>
    </row>
    <row r="238" spans="10:10" x14ac:dyDescent="0.2">
      <c r="J238" s="9">
        <f>IF(I238="Staff",LOOKUP(F238,'Pattern lookup'!$A$4:$A$29,'Pattern lookup'!$D$4:$D$17),0)</f>
        <v>0</v>
      </c>
    </row>
    <row r="239" spans="10:10" x14ac:dyDescent="0.2">
      <c r="J239" s="9">
        <f>IF(I239="Staff",LOOKUP(F239,'Pattern lookup'!$A$4:$A$29,'Pattern lookup'!$D$4:$D$17),0)</f>
        <v>0</v>
      </c>
    </row>
    <row r="240" spans="10:10" x14ac:dyDescent="0.2">
      <c r="J240" s="9">
        <f>IF(I240="Staff",LOOKUP(F240,'Pattern lookup'!$A$4:$A$29,'Pattern lookup'!$D$4:$D$17),0)</f>
        <v>0</v>
      </c>
    </row>
    <row r="241" spans="10:10" x14ac:dyDescent="0.2">
      <c r="J241" s="9">
        <f>IF(I241="Staff",LOOKUP(F241,'Pattern lookup'!$A$4:$A$29,'Pattern lookup'!$D$4:$D$17),0)</f>
        <v>0</v>
      </c>
    </row>
    <row r="242" spans="10:10" x14ac:dyDescent="0.2">
      <c r="J242" s="9">
        <f>IF(I242="Staff",LOOKUP(F242,'Pattern lookup'!$A$4:$A$29,'Pattern lookup'!$D$4:$D$17),0)</f>
        <v>0</v>
      </c>
    </row>
    <row r="243" spans="10:10" x14ac:dyDescent="0.2">
      <c r="J243" s="9">
        <f>IF(I243="Staff",LOOKUP(F243,'Pattern lookup'!$A$4:$A$29,'Pattern lookup'!$D$4:$D$17),0)</f>
        <v>0</v>
      </c>
    </row>
    <row r="244" spans="10:10" x14ac:dyDescent="0.2">
      <c r="J244" s="9">
        <f>IF(I244="Staff",LOOKUP(F244,'Pattern lookup'!$A$4:$A$29,'Pattern lookup'!$D$4:$D$17),0)</f>
        <v>0</v>
      </c>
    </row>
    <row r="245" spans="10:10" x14ac:dyDescent="0.2">
      <c r="J245" s="9">
        <f>IF(I245="Staff",LOOKUP(F245,'Pattern lookup'!$A$4:$A$29,'Pattern lookup'!$D$4:$D$17),0)</f>
        <v>0</v>
      </c>
    </row>
    <row r="246" spans="10:10" x14ac:dyDescent="0.2">
      <c r="J246" s="9">
        <f>IF(I246="Staff",LOOKUP(F246,'Pattern lookup'!$A$4:$A$29,'Pattern lookup'!$D$4:$D$17),0)</f>
        <v>0</v>
      </c>
    </row>
    <row r="247" spans="10:10" x14ac:dyDescent="0.2">
      <c r="J247" s="9">
        <f>IF(I247="Staff",LOOKUP(F247,'Pattern lookup'!$A$4:$A$29,'Pattern lookup'!$D$4:$D$17),0)</f>
        <v>0</v>
      </c>
    </row>
    <row r="248" spans="10:10" x14ac:dyDescent="0.2">
      <c r="J248" s="9">
        <f>IF(I248="Staff",LOOKUP(F248,'Pattern lookup'!$A$4:$A$29,'Pattern lookup'!$D$4:$D$17),0)</f>
        <v>0</v>
      </c>
    </row>
    <row r="249" spans="10:10" x14ac:dyDescent="0.2">
      <c r="J249" s="9">
        <f>IF(I249="Staff",LOOKUP(F249,'Pattern lookup'!$A$4:$A$29,'Pattern lookup'!$D$4:$D$17),0)</f>
        <v>0</v>
      </c>
    </row>
    <row r="250" spans="10:10" x14ac:dyDescent="0.2">
      <c r="J250" s="9">
        <f>IF(I250="Staff",LOOKUP(F250,'Pattern lookup'!$A$4:$A$29,'Pattern lookup'!$D$4:$D$17),0)</f>
        <v>0</v>
      </c>
    </row>
    <row r="251" spans="10:10" x14ac:dyDescent="0.2">
      <c r="J251" s="9">
        <f>IF(I251="Staff",LOOKUP(F251,'Pattern lookup'!$A$4:$A$29,'Pattern lookup'!$D$4:$D$17),0)</f>
        <v>0</v>
      </c>
    </row>
    <row r="252" spans="10:10" x14ac:dyDescent="0.2">
      <c r="J252" s="9">
        <f>IF(I252="Staff",LOOKUP(F252,'Pattern lookup'!$A$4:$A$29,'Pattern lookup'!$D$4:$D$17),0)</f>
        <v>0</v>
      </c>
    </row>
    <row r="253" spans="10:10" x14ac:dyDescent="0.2">
      <c r="J253" s="9">
        <f>IF(I253="Staff",LOOKUP(F253,'Pattern lookup'!$A$4:$A$29,'Pattern lookup'!$D$4:$D$17),0)</f>
        <v>0</v>
      </c>
    </row>
    <row r="254" spans="10:10" x14ac:dyDescent="0.2">
      <c r="J254" s="9">
        <f>IF(I254="Staff",LOOKUP(F254,'Pattern lookup'!$A$4:$A$29,'Pattern lookup'!$D$4:$D$17),0)</f>
        <v>0</v>
      </c>
    </row>
    <row r="255" spans="10:10" x14ac:dyDescent="0.2">
      <c r="J255" s="9">
        <f>IF(I255="Staff",LOOKUP(F255,'Pattern lookup'!$A$4:$A$29,'Pattern lookup'!$D$4:$D$17),0)</f>
        <v>0</v>
      </c>
    </row>
    <row r="256" spans="10:10" x14ac:dyDescent="0.2">
      <c r="J256" s="9">
        <f>IF(I256="Staff",LOOKUP(F256,'Pattern lookup'!$A$4:$A$29,'Pattern lookup'!$D$4:$D$17),0)</f>
        <v>0</v>
      </c>
    </row>
    <row r="257" spans="10:10" x14ac:dyDescent="0.2">
      <c r="J257" s="9">
        <f>IF(I257="Staff",LOOKUP(F257,'Pattern lookup'!$A$4:$A$29,'Pattern lookup'!$D$4:$D$17),0)</f>
        <v>0</v>
      </c>
    </row>
    <row r="258" spans="10:10" x14ac:dyDescent="0.2">
      <c r="J258" s="9">
        <f>IF(I258="Staff",LOOKUP(F258,'Pattern lookup'!$A$4:$A$29,'Pattern lookup'!$D$4:$D$17),0)</f>
        <v>0</v>
      </c>
    </row>
    <row r="259" spans="10:10" x14ac:dyDescent="0.2">
      <c r="J259" s="9">
        <f>IF(I259="Staff",LOOKUP(F259,'Pattern lookup'!$A$4:$A$29,'Pattern lookup'!$D$4:$D$17),0)</f>
        <v>0</v>
      </c>
    </row>
    <row r="260" spans="10:10" x14ac:dyDescent="0.2">
      <c r="J260" s="9">
        <f>IF(I260="Staff",LOOKUP(F260,'Pattern lookup'!$A$4:$A$29,'Pattern lookup'!$D$4:$D$17),0)</f>
        <v>0</v>
      </c>
    </row>
    <row r="261" spans="10:10" x14ac:dyDescent="0.2">
      <c r="J261" s="9">
        <f>IF(I261="Staff",LOOKUP(F261,'Pattern lookup'!$A$4:$A$29,'Pattern lookup'!$D$4:$D$17),0)</f>
        <v>0</v>
      </c>
    </row>
    <row r="262" spans="10:10" x14ac:dyDescent="0.2">
      <c r="J262" s="9">
        <f>IF(I262="Staff",LOOKUP(F262,'Pattern lookup'!$A$4:$A$29,'Pattern lookup'!$D$4:$D$17),0)</f>
        <v>0</v>
      </c>
    </row>
    <row r="263" spans="10:10" x14ac:dyDescent="0.2">
      <c r="J263" s="9">
        <f>IF(I263="Staff",LOOKUP(F263,'Pattern lookup'!$A$4:$A$29,'Pattern lookup'!$D$4:$D$17),0)</f>
        <v>0</v>
      </c>
    </row>
    <row r="264" spans="10:10" x14ac:dyDescent="0.2">
      <c r="J264" s="9">
        <f>IF(I264="Staff",LOOKUP(F264,'Pattern lookup'!$A$4:$A$29,'Pattern lookup'!$D$4:$D$17),0)</f>
        <v>0</v>
      </c>
    </row>
    <row r="265" spans="10:10" x14ac:dyDescent="0.2">
      <c r="J265" s="9">
        <f>IF(I265="Staff",LOOKUP(F265,'Pattern lookup'!$A$4:$A$29,'Pattern lookup'!$D$4:$D$17),0)</f>
        <v>0</v>
      </c>
    </row>
    <row r="266" spans="10:10" x14ac:dyDescent="0.2">
      <c r="J266" s="9">
        <f>IF(I266="Staff",LOOKUP(F266,'Pattern lookup'!$A$4:$A$29,'Pattern lookup'!$D$4:$D$17),0)</f>
        <v>0</v>
      </c>
    </row>
    <row r="267" spans="10:10" x14ac:dyDescent="0.2">
      <c r="J267" s="9">
        <f>IF(I267="Staff",LOOKUP(F267,'Pattern lookup'!$A$4:$A$29,'Pattern lookup'!$D$4:$D$17),0)</f>
        <v>0</v>
      </c>
    </row>
    <row r="268" spans="10:10" x14ac:dyDescent="0.2">
      <c r="J268" s="9">
        <f>IF(I268="Staff",LOOKUP(F268,'Pattern lookup'!$A$4:$A$29,'Pattern lookup'!$D$4:$D$17),0)</f>
        <v>0</v>
      </c>
    </row>
    <row r="269" spans="10:10" x14ac:dyDescent="0.2">
      <c r="J269" s="9">
        <f>IF(I269="Staff",LOOKUP(F269,'Pattern lookup'!$A$4:$A$29,'Pattern lookup'!$D$4:$D$17),0)</f>
        <v>0</v>
      </c>
    </row>
    <row r="270" spans="10:10" x14ac:dyDescent="0.2">
      <c r="J270" s="9">
        <f>IF(I270="Staff",LOOKUP(F270,'Pattern lookup'!$A$4:$A$29,'Pattern lookup'!$D$4:$D$17),0)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STAFF TOTALS</vt:lpstr>
      <vt:lpstr>OFFERINGS</vt:lpstr>
      <vt:lpstr>TUTORIALS</vt:lpstr>
      <vt:lpstr>Pivots</vt:lpstr>
      <vt:lpstr>Pattern lookup</vt:lpstr>
      <vt:lpstr>Pattern detail</vt:lpstr>
      <vt:lpstr>Teaching Patterns defined</vt:lpstr>
      <vt:lpstr>Staff lookup</vt:lpstr>
      <vt:lpstr>Tutorial columns to copy</vt:lpstr>
      <vt:lpstr>Sheet2</vt:lpstr>
    </vt:vector>
  </TitlesOfParts>
  <Company>Murdoch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S840343J</dc:creator>
  <cp:lastModifiedBy>Microsoft Office User</cp:lastModifiedBy>
  <cp:lastPrinted>2018-01-22T03:11:17Z</cp:lastPrinted>
  <dcterms:created xsi:type="dcterms:W3CDTF">2011-03-23T02:32:51Z</dcterms:created>
  <dcterms:modified xsi:type="dcterms:W3CDTF">2018-05-12T00:05:32Z</dcterms:modified>
</cp:coreProperties>
</file>